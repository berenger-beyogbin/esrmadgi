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7d0ff169c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s" sheetId="1" r:id="R9590bc2a46784bc3"/>
    <x:sheet xmlns:r="http://schemas.openxmlformats.org/officeDocument/2006/relationships" name="QCM" sheetId="2" r:id="R59ba0496e9ac4607"/>
    <x:sheet xmlns:r="http://schemas.openxmlformats.org/officeDocument/2006/relationships" name="Satisfaction" sheetId="3" r:id="R45419566f024473e"/>
    <x:sheet xmlns:r="http://schemas.openxmlformats.org/officeDocument/2006/relationships" name="Synthèse" sheetId="4" r:id="Re9b7db64e7ed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A6A"/>
      <x:name val="Carlito"/>
    </x:font>
    <x:font>
      <x:b/>
      <x:sz val="11"/>
      <x:color rgb="FF147A4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A6A"/>
      </x:patternFill>
    </x:fill>
    <x:fill>
      <x:patternFill patternType="solid">
        <x:fgColor rgb="FFE8EEF5"/>
      </x:patternFill>
    </x:fill>
    <x:fill>
      <x:patternFill patternType="solid">
        <x:fgColor rgb="FFE7F5EE"/>
      </x:patternFill>
    </x:fill>
    <x:fill>
      <x:patternFill patternType="solid">
        <x:fgColor rgb="FF147A4B"/>
      </x:patternFill>
    </x:fill>
  </x:fills>
  <x:borders count="10">
    <x:border/>
    <x:border>
      <x:left style="thin">
        <x:color rgb="FFC9D5E4"/>
      </x:left>
      <x:top style="thin">
        <x:color rgb="FFC9D5E4"/>
      </x:top>
      <x:bottom style="thin">
        <x:color rgb="FFC9D5E4"/>
      </x:bottom>
    </x:border>
    <x:border>
      <x:top style="thin">
        <x:color rgb="FFC9D5E4"/>
      </x:top>
      <x:bottom style="thin">
        <x:color rgb="FFC9D5E4"/>
      </x:bottom>
    </x:border>
    <x:border>
      <x:right style="thin">
        <x:color rgb="FFC9D5E4"/>
      </x:right>
      <x:top style="thin">
        <x:color rgb="FFC9D5E4"/>
      </x:top>
      <x:bottom style="thin">
        <x:color rgb="FFC9D5E4"/>
      </x:bottom>
    </x:border>
    <x:border>
      <x:left style="thin">
        <x:color rgb="FFC9D5E4"/>
      </x:left>
      <x:top style="thin">
        <x:color rgb="FFC9D5E4"/>
      </x:top>
      <x:bottom style="thin">
        <x:color rgb="FFE3E8EF"/>
      </x:bottom>
    </x:border>
    <x:border>
      <x:top style="thin">
        <x:color rgb="FFC9D5E4"/>
      </x:top>
      <x:bottom style="thin">
        <x:color rgb="FFE3E8EF"/>
      </x:bottom>
    </x:border>
    <x:border>
      <x:left style="thin">
        <x:color rgb="FFC9D5E4"/>
      </x:left>
      <x:top style="thin">
        <x:color rgb="FFE3E8EF"/>
      </x:top>
      <x:bottom style="thin">
        <x:color rgb="FFE3E8EF"/>
      </x:bottom>
    </x:border>
    <x:border>
      <x:top style="thin">
        <x:color rgb="FFE3E8EF"/>
      </x:top>
      <x:bottom style="thin">
        <x:color rgb="FFE3E8EF"/>
      </x:bottom>
    </x:border>
    <x:border>
      <x:left style="thin">
        <x:color rgb="FFC9D5E4"/>
      </x:left>
      <x:top style="thin">
        <x:color rgb="FFE3E8EF"/>
      </x:top>
      <x:bottom style="thin">
        <x:color rgb="FFC9D5E4"/>
      </x:bottom>
    </x:border>
    <x:border>
      <x:top style="thin">
        <x:color rgb="FFE3E8EF"/>
      </x:top>
      <x:bottom style="thin">
        <x:color rgb="FFC9D5E4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47A4B"/>
      </x:font>
      <x:fill>
        <x:patternFill patternType="solid">
          <x:bgColor rgb="FFE7F5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f061bfe4c483b" /><Relationship Type="http://schemas.openxmlformats.org/officeDocument/2006/relationships/theme" Target="/xl/theme/theme1.xml" Id="Rd0a07709d90648dd" /><Relationship Type="http://schemas.openxmlformats.org/officeDocument/2006/relationships/sharedStrings" Target="/xl/sharedStrings.xml" Id="R72a84d33ef134a92" /><Relationship Type="http://schemas.openxmlformats.org/officeDocument/2006/relationships/worksheet" Target="/xl/worksheets/sheet1.xml" Id="R9590bc2a46784bc3" /><Relationship Type="http://schemas.openxmlformats.org/officeDocument/2006/relationships/worksheet" Target="/xl/worksheets/sheet2.xml" Id="R59ba0496e9ac4607" /><Relationship Type="http://schemas.openxmlformats.org/officeDocument/2006/relationships/worksheet" Target="/xl/worksheets/sheet3.xml" Id="R45419566f024473e" /><Relationship Type="http://schemas.openxmlformats.org/officeDocument/2006/relationships/worksheet" Target="/xl/worksheets/sheet4.xml" Id="Re9b7db64e7ed42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14" hidden="0" customWidth="1"/>
    <x:col min="4" max="4" width="18" hidden="0" customWidth="1"/>
    <x:col min="5" max="5" width="19" hidden="0" customWidth="1"/>
    <x:col min="6" max="6" width="15" hidden="0" customWidth="1"/>
    <x:col min="7" max="7" width="18" hidden="0" customWidth="1"/>
    <x:col min="8" max="8" width="14" hidden="0" customWidth="1"/>
    <x:col min="9" max="9" width="17" hidden="0" customWidth="1"/>
    <x:col min="10" max="10" width="12" hidden="0" customWidth="1"/>
    <x:col min="11" max="11" width="16" hidden="0" customWidth="1"/>
    <x:col min="12" max="12" width="20" hidden="0" customWidth="1"/>
  </x:cols>
  <x:sheetData>
    <x:row r="1" ht="30" customHeight="1">
      <x:c r="A1" s="3" t="str">
        <x:v>SUIVI DES PARTICIPANTS — FORMATION MADGI ESR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15" t="str">
        <x:v>N°</x:v>
      </x:c>
      <x:c r="B3" s="16" t="str">
        <x:v>Nom et prénoms</x:v>
      </x:c>
      <x:c r="C3" s="16" t="str">
        <x:v>Matricule</x:v>
      </x:c>
      <x:c r="D3" s="16" t="str">
        <x:v>Service</x:v>
      </x:c>
      <x:c r="E3" s="16" t="str">
        <x:v>Profil</x:v>
      </x:c>
      <x:c r="F3" s="16" t="str">
        <x:v>Présence matin</x:v>
      </x:c>
      <x:c r="G3" s="16" t="str">
        <x:v>Présence après-midi</x:v>
      </x:c>
      <x:c r="H3" s="16" t="str">
        <x:v>Score QCM /10</x:v>
      </x:c>
      <x:c r="I3" s="16" t="str">
        <x:v>Score pratique /20</x:v>
      </x:c>
      <x:c r="J3" s="16" t="str">
        <x:v>Total /30</x:v>
      </x:c>
      <x:c r="K3" s="16" t="str">
        <x:v>Résultat</x:v>
      </x:c>
      <x:c r="L3" s="16" t="str">
        <x:v>Signature</x:v>
      </x:c>
    </x:row>
    <x:row r="4">
      <x:c r="A4" s="17" t="n">
        <x:v>1</x:v>
      </x:c>
      <x:c r="B4" s="18" t="str"/>
      <x:c r="C4" s="18" t="str"/>
      <x:c r="D4" s="18" t="str"/>
      <x:c r="E4" s="18" t="str"/>
      <x:c r="F4" s="18" t="str"/>
      <x:c r="G4" s="18" t="str"/>
      <x:c r="H4" s="18" t="str"/>
      <x:c r="I4" s="18" t="str"/>
      <x:c r="J4" s="18" t="n">
        <x:f>IF(COUNTA(H4:I4)=0,"",SUM(H4:I4))</x:f>
        <x:v>0</x:v>
      </x:c>
      <x:c r="K4" s="18" t="str">
        <x:f>IF(J4="","",IF(J4&gt;=21,"VALIDÉ","À RENFORCER"))</x:f>
      </x:c>
      <x:c r="L4" s="18" t="str"/>
    </x:row>
    <x:row r="5">
      <x:c r="A5" s="17" t="n">
        <x:v>2</x:v>
      </x:c>
      <x:c r="B5" s="18" t="str"/>
      <x:c r="C5" s="18" t="str"/>
      <x:c r="D5" s="18" t="str"/>
      <x:c r="E5" s="18" t="str"/>
      <x:c r="F5" s="18" t="str"/>
      <x:c r="G5" s="18" t="str"/>
      <x:c r="H5" s="18" t="str"/>
      <x:c r="I5" s="18" t="str"/>
      <x:c r="J5" s="18" t="n">
        <x:f>IF(COUNTA(H5:I5)=0,"",SUM(H5:I5))</x:f>
        <x:v>0</x:v>
      </x:c>
      <x:c r="K5" s="18" t="str">
        <x:f>IF(J5="","",IF(J5&gt;=21,"VALIDÉ","À RENFORCER"))</x:f>
      </x:c>
      <x:c r="L5" s="18" t="str"/>
    </x:row>
    <x:row r="6">
      <x:c r="A6" s="17" t="n">
        <x:v>3</x:v>
      </x:c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n">
        <x:f>IF(COUNTA(H6:I6)=0,"",SUM(H6:I6))</x:f>
        <x:v>0</x:v>
      </x:c>
      <x:c r="K6" s="18" t="str">
        <x:f>IF(J6="","",IF(J6&gt;=21,"VALIDÉ","À RENFORCER"))</x:f>
      </x:c>
      <x:c r="L6" s="18" t="str"/>
    </x:row>
    <x:row r="7">
      <x:c r="A7" s="17" t="n">
        <x:v>4</x:v>
      </x:c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n">
        <x:f>IF(COUNTA(H7:I7)=0,"",SUM(H7:I7))</x:f>
        <x:v>0</x:v>
      </x:c>
      <x:c r="K7" s="18" t="str">
        <x:f>IF(J7="","",IF(J7&gt;=21,"VALIDÉ","À RENFORCER"))</x:f>
      </x:c>
      <x:c r="L7" s="18" t="str"/>
    </x:row>
    <x:row r="8">
      <x:c r="A8" s="17" t="n">
        <x:v>5</x:v>
      </x:c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n">
        <x:f>IF(COUNTA(H8:I8)=0,"",SUM(H8:I8))</x:f>
        <x:v>0</x:v>
      </x:c>
      <x:c r="K8" s="18" t="str">
        <x:f>IF(J8="","",IF(J8&gt;=21,"VALIDÉ","À RENFORCER"))</x:f>
      </x:c>
      <x:c r="L8" s="18" t="str"/>
    </x:row>
    <x:row r="9">
      <x:c r="A9" s="17" t="n">
        <x:v>6</x:v>
      </x:c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n">
        <x:f>IF(COUNTA(H9:I9)=0,"",SUM(H9:I9))</x:f>
        <x:v>0</x:v>
      </x:c>
      <x:c r="K9" s="18" t="str">
        <x:f>IF(J9="","",IF(J9&gt;=21,"VALIDÉ","À RENFORCER"))</x:f>
      </x:c>
      <x:c r="L9" s="18" t="str"/>
    </x:row>
    <x:row r="10">
      <x:c r="A10" s="17" t="n">
        <x:v>7</x:v>
      </x:c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n">
        <x:f>IF(COUNTA(H10:I10)=0,"",SUM(H10:I10))</x:f>
        <x:v>0</x:v>
      </x:c>
      <x:c r="K10" s="18" t="str">
        <x:f>IF(J10="","",IF(J10&gt;=21,"VALIDÉ","À RENFORCER"))</x:f>
      </x:c>
      <x:c r="L10" s="18" t="str"/>
    </x:row>
    <x:row r="11">
      <x:c r="A11" s="17" t="n">
        <x:v>8</x:v>
      </x:c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n">
        <x:f>IF(COUNTA(H11:I11)=0,"",SUM(H11:I11))</x:f>
        <x:v>0</x:v>
      </x:c>
      <x:c r="K11" s="18" t="str">
        <x:f>IF(J11="","",IF(J11&gt;=21,"VALIDÉ","À RENFORCER"))</x:f>
      </x:c>
      <x:c r="L11" s="18" t="str"/>
    </x:row>
    <x:row r="12">
      <x:c r="A12" s="17" t="n">
        <x:v>9</x:v>
      </x:c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n">
        <x:f>IF(COUNTA(H12:I12)=0,"",SUM(H12:I12))</x:f>
        <x:v>0</x:v>
      </x:c>
      <x:c r="K12" s="18" t="str">
        <x:f>IF(J12="","",IF(J12&gt;=21,"VALIDÉ","À RENFORCER"))</x:f>
      </x:c>
      <x:c r="L12" s="18" t="str"/>
    </x:row>
    <x:row r="13">
      <x:c r="A13" s="17" t="n">
        <x:v>10</x:v>
      </x:c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n">
        <x:f>IF(COUNTA(H13:I13)=0,"",SUM(H13:I13))</x:f>
        <x:v>0</x:v>
      </x:c>
      <x:c r="K13" s="18" t="str">
        <x:f>IF(J13="","",IF(J13&gt;=21,"VALIDÉ","À RENFORCER"))</x:f>
      </x:c>
      <x:c r="L13" s="18" t="str"/>
    </x:row>
    <x:row r="14">
      <x:c r="A14" s="17" t="n">
        <x:v>11</x:v>
      </x:c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n">
        <x:f>IF(COUNTA(H14:I14)=0,"",SUM(H14:I14))</x:f>
        <x:v>0</x:v>
      </x:c>
      <x:c r="K14" s="18" t="str">
        <x:f>IF(J14="","",IF(J14&gt;=21,"VALIDÉ","À RENFORCER"))</x:f>
      </x:c>
      <x:c r="L14" s="18" t="str"/>
    </x:row>
    <x:row r="15">
      <x:c r="A15" s="17" t="n">
        <x:v>12</x:v>
      </x:c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n">
        <x:f>IF(COUNTA(H15:I15)=0,"",SUM(H15:I15))</x:f>
        <x:v>0</x:v>
      </x:c>
      <x:c r="K15" s="18" t="str">
        <x:f>IF(J15="","",IF(J15&gt;=21,"VALIDÉ","À RENFORCER"))</x:f>
      </x:c>
      <x:c r="L15" s="18" t="str"/>
    </x:row>
    <x:row r="16">
      <x:c r="A16" s="17" t="n">
        <x:v>13</x:v>
      </x:c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n">
        <x:f>IF(COUNTA(H16:I16)=0,"",SUM(H16:I16))</x:f>
        <x:v>0</x:v>
      </x:c>
      <x:c r="K16" s="18" t="str">
        <x:f>IF(J16="","",IF(J16&gt;=21,"VALIDÉ","À RENFORCER"))</x:f>
      </x:c>
      <x:c r="L16" s="18" t="str"/>
    </x:row>
    <x:row r="17">
      <x:c r="A17" s="17" t="n">
        <x:v>14</x:v>
      </x:c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n">
        <x:f>IF(COUNTA(H17:I17)=0,"",SUM(H17:I17))</x:f>
        <x:v>0</x:v>
      </x:c>
      <x:c r="K17" s="18" t="str">
        <x:f>IF(J17="","",IF(J17&gt;=21,"VALIDÉ","À RENFORCER"))</x:f>
      </x:c>
      <x:c r="L17" s="18" t="str"/>
    </x:row>
    <x:row r="18">
      <x:c r="A18" s="17" t="n">
        <x:v>15</x:v>
      </x:c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n">
        <x:f>IF(COUNTA(H18:I18)=0,"",SUM(H18:I18))</x:f>
        <x:v>0</x:v>
      </x:c>
      <x:c r="K18" s="18" t="str">
        <x:f>IF(J18="","",IF(J18&gt;=21,"VALIDÉ","À RENFORCER"))</x:f>
      </x:c>
      <x:c r="L18" s="18" t="str"/>
    </x:row>
    <x:row r="19">
      <x:c r="A19" s="17" t="n">
        <x:v>16</x:v>
      </x:c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n">
        <x:f>IF(COUNTA(H19:I19)=0,"",SUM(H19:I19))</x:f>
        <x:v>0</x:v>
      </x:c>
      <x:c r="K19" s="18" t="str">
        <x:f>IF(J19="","",IF(J19&gt;=21,"VALIDÉ","À RENFORCER"))</x:f>
      </x:c>
      <x:c r="L19" s="18" t="str"/>
    </x:row>
    <x:row r="20">
      <x:c r="A20" s="17" t="n">
        <x:v>17</x:v>
      </x:c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n">
        <x:f>IF(COUNTA(H20:I20)=0,"",SUM(H20:I20))</x:f>
        <x:v>0</x:v>
      </x:c>
      <x:c r="K20" s="18" t="str">
        <x:f>IF(J20="","",IF(J20&gt;=21,"VALIDÉ","À RENFORCER"))</x:f>
      </x:c>
      <x:c r="L20" s="18" t="str"/>
    </x:row>
    <x:row r="21">
      <x:c r="A21" s="17" t="n">
        <x:v>18</x:v>
      </x:c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n">
        <x:f>IF(COUNTA(H21:I21)=0,"",SUM(H21:I21))</x:f>
        <x:v>0</x:v>
      </x:c>
      <x:c r="K21" s="18" t="str">
        <x:f>IF(J21="","",IF(J21&gt;=21,"VALIDÉ","À RENFORCER"))</x:f>
      </x:c>
      <x:c r="L21" s="18" t="str"/>
    </x:row>
    <x:row r="22">
      <x:c r="A22" s="17" t="n">
        <x:v>19</x:v>
      </x:c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n">
        <x:f>IF(COUNTA(H22:I22)=0,"",SUM(H22:I22))</x:f>
        <x:v>0</x:v>
      </x:c>
      <x:c r="K22" s="18" t="str">
        <x:f>IF(J22="","",IF(J22&gt;=21,"VALIDÉ","À RENFORCER"))</x:f>
      </x:c>
      <x:c r="L22" s="18" t="str"/>
    </x:row>
    <x:row r="23">
      <x:c r="A23" s="19" t="n">
        <x:v>20</x:v>
      </x:c>
      <x:c r="B23" s="20" t="str"/>
      <x:c r="C23" s="20" t="str"/>
      <x:c r="D23" s="20" t="str"/>
      <x:c r="E23" s="20" t="str"/>
      <x:c r="F23" s="20" t="str"/>
      <x:c r="G23" s="20" t="str"/>
      <x:c r="H23" s="20" t="str"/>
      <x:c r="I23" s="20" t="str"/>
      <x:c r="J23" s="20" t="n">
        <x:f>IF(COUNTA(H23:I23)=0,"",SUM(H23:I23))</x:f>
        <x:v>0</x:v>
      </x:c>
      <x:c r="K23" s="20" t="str">
        <x:f>IF(J23="","",IF(J23&gt;=21,"VALIDÉ","À RENFORCER"))</x:f>
      </x:c>
      <x:c r="L23" s="20" t="str"/>
    </x:row>
  </x:sheetData>
  <x:mergeCells>
    <x:mergeCell ref="A1:L1"/>
  </x:mergeCells>
  <x:conditionalFormatting sqref="K4:K23">
    <x:cfRule type="containsText" dxfId="0" priority="1" operator="containsText" text="VALIDÉ"/>
    <x:cfRule type="containsText" dxfId="1" priority="2" operator="containsText" text="RENFORCER"/>
  </x:conditionalFormatting>
  <x:dataValidations count="4">
    <x:dataValidation type="list" sqref="E4:E23">
      <x:formula1>"ADHERENT,GESTIONNAIRE,ADMINISTRATEUR"</x:formula1>
    </x:dataValidation>
    <x:dataValidation type="list" sqref="F4:G23">
      <x:formula1>"OUI,NON"</x:formula1>
    </x:dataValidation>
    <x:dataValidation type="whole" operator="between" sqref="H4:H23">
      <x:formula1>0</x:formula1>
      <x:formula2>10</x:formula2>
    </x:dataValidation>
    <x:dataValidation type="whole" operator="between" sqref="I4:I23">
      <x:formula1>0</x:formula1>
      <x:formula2>20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46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15" hidden="0" customWidth="1"/>
  </x:cols>
  <x:sheetData>
    <x:row r="1" ht="30" customHeight="1">
      <x:c r="A1" s="3" t="str">
        <x:v>QCM DE VALIDATION — 10 POINTS</x:v>
      </x:c>
      <x:c r="B1" s="3"/>
      <x:c r="C1" s="3"/>
      <x:c r="D1" s="3"/>
      <x:c r="E1" s="3"/>
      <x:c r="F1" s="3"/>
      <x:c r="G1" s="3"/>
    </x:row>
    <x:row r="3">
      <x:c r="A3" s="15" t="str">
        <x:v>N°</x:v>
      </x:c>
      <x:c r="B3" s="16" t="str">
        <x:v>Question</x:v>
      </x:c>
      <x:c r="C3" s="16" t="str">
        <x:v>A</x:v>
      </x:c>
      <x:c r="D3" s="16" t="str">
        <x:v>B</x:v>
      </x:c>
      <x:c r="E3" s="16" t="str">
        <x:v>C</x:v>
      </x:c>
      <x:c r="F3" s="16" t="str">
        <x:v>D</x:v>
      </x:c>
      <x:c r="G3" s="16" t="str">
        <x:v>Bonne réponse</x:v>
      </x:c>
    </x:row>
    <x:row r="4">
      <x:c r="A4" s="17" t="n">
        <x:v>1</x:v>
      </x:c>
      <x:c r="B4" s="21" t="str">
        <x:v>À quel statut un chèque alimente-t-il le capital ESR ?</x:v>
      </x:c>
      <x:c r="C4" s="21" t="str">
        <x:v>SAISI</x:v>
      </x:c>
      <x:c r="D4" s="21" t="str">
        <x:v>DÉPOSÉ</x:v>
      </x:c>
      <x:c r="E4" s="21" t="str">
        <x:v>COMPENSÉ</x:v>
      </x:c>
      <x:c r="F4" s="21" t="str">
        <x:v>ENCAISSÉ</x:v>
      </x:c>
      <x:c r="G4" s="21" t="str">
        <x:v>D</x:v>
      </x:c>
    </x:row>
    <x:row r="5">
      <x:c r="A5" s="17" t="n">
        <x:v>2</x:v>
      </x:c>
      <x:c r="B5" s="21" t="str">
        <x:v>Quel est l’effet d’une cotisation spontanée ?</x:v>
      </x:c>
      <x:c r="C5" s="21" t="str">
        <x:v>Annulation</x:v>
      </x:c>
      <x:c r="D5" s="21" t="str">
        <x:v>Soustraction directe</x:v>
      </x:c>
      <x:c r="E5" s="21" t="str">
        <x:v>Recalcul</x:v>
      </x:c>
      <x:c r="F5" s="21" t="str">
        <x:v>Clôture</x:v>
      </x:c>
      <x:c r="G5" s="21" t="str">
        <x:v>C</x:v>
      </x:c>
    </x:row>
    <x:row r="6">
      <x:c r="A6" s="17" t="n">
        <x:v>3</x:v>
      </x:c>
      <x:c r="B6" s="21" t="str">
        <x:v>Identifiant de recherche prioritaire ?</x:v>
      </x:c>
      <x:c r="C6" s="21" t="str">
        <x:v>Prénom</x:v>
      </x:c>
      <x:c r="D6" s="21" t="str">
        <x:v>Matricule</x:v>
      </x:c>
      <x:c r="E6" s="21" t="str">
        <x:v>Montant</x:v>
      </x:c>
      <x:c r="F6" s="21" t="str">
        <x:v>Date</x:v>
      </x:c>
      <x:c r="G6" s="21" t="str">
        <x:v>B</x:v>
      </x:c>
    </x:row>
    <x:row r="7">
      <x:c r="A7" s="17" t="n">
        <x:v>4</x:v>
      </x:c>
      <x:c r="B7" s="21" t="str">
        <x:v>Données requises au dépôt banque ?</x:v>
      </x:c>
      <x:c r="C7" s="21" t="str">
        <x:v>Mot de passe</x:v>
      </x:c>
      <x:c r="D7" s="21" t="str">
        <x:v>Bordereau + date</x:v>
      </x:c>
      <x:c r="E7" s="21" t="str">
        <x:v>Reçu</x:v>
      </x:c>
      <x:c r="F7" s="21" t="str">
        <x:v>Âge retraite</x:v>
      </x:c>
      <x:c r="G7" s="21" t="str">
        <x:v>B</x:v>
      </x:c>
    </x:row>
    <x:row r="8">
      <x:c r="A8" s="17" t="n">
        <x:v>5</x:v>
      </x:c>
      <x:c r="B8" s="21" t="str">
        <x:v>Étape après COMPENSÉ ?</x:v>
      </x:c>
      <x:c r="C8" s="21" t="str">
        <x:v>Supprimer</x:v>
      </x:c>
      <x:c r="D8" s="21" t="str">
        <x:v>Clôturer</x:v>
      </x:c>
      <x:c r="E8" s="21" t="str">
        <x:v>Valider</x:v>
      </x:c>
      <x:c r="F8" s="21" t="str">
        <x:v>Recréer</x:v>
      </x:c>
      <x:c r="G8" s="21" t="str">
        <x:v>C</x:v>
      </x:c>
    </x:row>
    <x:row r="9">
      <x:c r="A9" s="17" t="n">
        <x:v>6</x:v>
      </x:c>
      <x:c r="B9" s="21" t="str">
        <x:v>Qui clôture définitivement ?</x:v>
      </x:c>
      <x:c r="C9" s="21" t="str">
        <x:v>Tout utilisateur</x:v>
      </x:c>
      <x:c r="D9" s="21" t="str">
        <x:v>Adhérent</x:v>
      </x:c>
      <x:c r="E9" s="21" t="str">
        <x:v>Profil habilité</x:v>
      </x:c>
      <x:c r="F9" s="21" t="str">
        <x:v>Banque</x:v>
      </x:c>
      <x:c r="G9" s="21" t="str">
        <x:v>C</x:v>
      </x:c>
    </x:row>
    <x:row r="10">
      <x:c r="A10" s="17" t="n">
        <x:v>7</x:v>
      </x:c>
      <x:c r="B10" s="21" t="str">
        <x:v>Format des dates du reçu ?</x:v>
      </x:c>
      <x:c r="C10" s="21" t="str">
        <x:v>JJ/MM/AAAA</x:v>
      </x:c>
      <x:c r="D10" s="21" t="str">
        <x:v>Montant</x:v>
      </x:c>
      <x:c r="E10" s="21" t="str">
        <x:v>Trimestre</x:v>
      </x:c>
      <x:c r="F10" s="21" t="str">
        <x:v>Heure</x:v>
      </x:c>
      <x:c r="G10" s="21" t="str">
        <x:v>A</x:v>
      </x:c>
    </x:row>
    <x:row r="11">
      <x:c r="A11" s="17" t="n">
        <x:v>8</x:v>
      </x:c>
      <x:c r="B11" s="21" t="str">
        <x:v>Que faire d’un chèque rejeté ?</x:v>
      </x:c>
      <x:c r="C11" s="21" t="str">
        <x:v>Encaisser</x:v>
      </x:c>
      <x:c r="D11" s="21" t="str">
        <x:v>Impayé + motif</x:v>
      </x:c>
      <x:c r="E11" s="21" t="str">
        <x:v>Supprimer</x:v>
      </x:c>
      <x:c r="F11" s="21" t="str">
        <x:v>Ignorer</x:v>
      </x:c>
      <x:c r="G11" s="21" t="str">
        <x:v>B</x:v>
      </x:c>
    </x:row>
    <x:row r="12">
      <x:c r="A12" s="17" t="n">
        <x:v>9</x:v>
      </x:c>
      <x:c r="B12" s="21" t="str">
        <x:v>Avant clôture ?</x:v>
      </x:c>
      <x:c r="C12" s="21" t="str">
        <x:v>Ignorer alertes</x:v>
      </x:c>
      <x:c r="D12" s="21" t="str">
        <x:v>Traiter blocages</x:v>
      </x:c>
      <x:c r="E12" s="21" t="str">
        <x:v>Changer adhérent</x:v>
      </x:c>
      <x:c r="F12" s="21" t="str">
        <x:v>Imprimer</x:v>
      </x:c>
      <x:c r="G12" s="21" t="str">
        <x:v>B</x:v>
      </x:c>
    </x:row>
    <x:row r="13">
      <x:c r="A13" s="19" t="n">
        <x:v>10</x:v>
      </x:c>
      <x:c r="B13" s="22" t="str">
        <x:v>En cas d’erreur persistante ?</x:v>
      </x:c>
      <x:c r="C13" s="22" t="str">
        <x:v>Cliquer en boucle</x:v>
      </x:c>
      <x:c r="D13" s="22" t="str">
        <x:v>Partager mot de passe</x:v>
      </x:c>
      <x:c r="E13" s="22" t="str">
        <x:v>Documenter + support</x:v>
      </x:c>
      <x:c r="F13" s="22" t="str">
        <x:v>Clôturer</x:v>
      </x:c>
      <x:c r="G13" s="22" t="str">
        <x:v>C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40" hidden="0" customWidth="1"/>
  </x:cols>
  <x:sheetData>
    <x:row r="1" ht="30" customHeight="1">
      <x:c r="A1" s="3" t="str">
        <x:v>ÉVALUATION DE SATISFACTION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N°</x:v>
      </x:c>
      <x:c r="B3" s="13" t="str">
        <x:v>Nom (facultatif)</x:v>
      </x:c>
      <x:c r="C3" s="13" t="str">
        <x:v>Clarté /5</x:v>
      </x:c>
      <x:c r="D3" s="13" t="str">
        <x:v>Utilité /5</x:v>
      </x:c>
      <x:c r="E3" s="13" t="str">
        <x:v>Rythme /5</x:v>
      </x:c>
      <x:c r="F3" s="13" t="str">
        <x:v>Pratique /5</x:v>
      </x:c>
      <x:c r="G3" s="13" t="str">
        <x:v>Support /5</x:v>
      </x:c>
      <x:c r="H3" s="14" t="str">
        <x:v>Commentaire / suggestion</x:v>
      </x:c>
    </x:row>
    <x:row r="4">
      <x:c r="A4" t="n">
        <x:v>1</x:v>
      </x:c>
      <x:c r="B4" s="28"/>
      <x:c r="C4" s="28"/>
      <x:c r="D4" s="28"/>
      <x:c r="E4" s="28"/>
      <x:c r="F4" s="28"/>
      <x:c r="G4" s="28"/>
      <x:c r="H4" s="28"/>
    </x:row>
    <x:row r="5">
      <x:c r="A5" t="n">
        <x:v>2</x:v>
      </x:c>
      <x:c r="B5" s="28"/>
      <x:c r="C5" s="28"/>
      <x:c r="D5" s="28"/>
      <x:c r="E5" s="28"/>
      <x:c r="F5" s="28"/>
      <x:c r="G5" s="28"/>
      <x:c r="H5" s="28"/>
    </x:row>
    <x:row r="6">
      <x:c r="A6" t="n">
        <x:v>3</x:v>
      </x:c>
      <x:c r="B6" s="28"/>
      <x:c r="C6" s="28"/>
      <x:c r="D6" s="28"/>
      <x:c r="E6" s="28"/>
      <x:c r="F6" s="28"/>
      <x:c r="G6" s="28"/>
      <x:c r="H6" s="28"/>
    </x:row>
    <x:row r="7">
      <x:c r="A7" t="n">
        <x:v>4</x:v>
      </x:c>
      <x:c r="B7" s="28"/>
      <x:c r="C7" s="28"/>
      <x:c r="D7" s="28"/>
      <x:c r="E7" s="28"/>
      <x:c r="F7" s="28"/>
      <x:c r="G7" s="28"/>
      <x:c r="H7" s="28"/>
    </x:row>
    <x:row r="8">
      <x:c r="A8" t="n">
        <x:v>5</x:v>
      </x:c>
      <x:c r="B8" s="28"/>
      <x:c r="C8" s="28"/>
      <x:c r="D8" s="28"/>
      <x:c r="E8" s="28"/>
      <x:c r="F8" s="28"/>
      <x:c r="G8" s="28"/>
      <x:c r="H8" s="28"/>
    </x:row>
    <x:row r="9">
      <x:c r="A9" t="n">
        <x:v>6</x:v>
      </x:c>
      <x:c r="B9" s="28"/>
      <x:c r="C9" s="28"/>
      <x:c r="D9" s="28"/>
      <x:c r="E9" s="28"/>
      <x:c r="F9" s="28"/>
      <x:c r="G9" s="28"/>
      <x:c r="H9" s="28"/>
    </x:row>
    <x:row r="10">
      <x:c r="A10" t="n">
        <x:v>7</x:v>
      </x:c>
      <x:c r="B10" s="28"/>
      <x:c r="C10" s="28"/>
      <x:c r="D10" s="28"/>
      <x:c r="E10" s="28"/>
      <x:c r="F10" s="28"/>
      <x:c r="G10" s="28"/>
      <x:c r="H10" s="28"/>
    </x:row>
    <x:row r="11">
      <x:c r="A11" t="n">
        <x:v>8</x:v>
      </x:c>
      <x:c r="B11" s="28"/>
      <x:c r="C11" s="28"/>
      <x:c r="D11" s="28"/>
      <x:c r="E11" s="28"/>
      <x:c r="F11" s="28"/>
      <x:c r="G11" s="28"/>
      <x:c r="H11" s="28"/>
    </x:row>
    <x:row r="12">
      <x:c r="A12" t="n">
        <x:v>9</x:v>
      </x:c>
      <x:c r="B12" s="28"/>
      <x:c r="C12" s="28"/>
      <x:c r="D12" s="28"/>
      <x:c r="E12" s="28"/>
      <x:c r="F12" s="28"/>
      <x:c r="G12" s="28"/>
      <x:c r="H12" s="28"/>
    </x:row>
    <x:row r="13">
      <x:c r="A13" t="n">
        <x:v>10</x:v>
      </x:c>
      <x:c r="B13" s="28"/>
      <x:c r="C13" s="28"/>
      <x:c r="D13" s="28"/>
      <x:c r="E13" s="28"/>
      <x:c r="F13" s="28"/>
      <x:c r="G13" s="28"/>
      <x:c r="H13" s="28"/>
    </x:row>
    <x:row r="14">
      <x:c r="A14" t="n">
        <x:v>11</x:v>
      </x:c>
      <x:c r="B14" s="28"/>
      <x:c r="C14" s="28"/>
      <x:c r="D14" s="28"/>
      <x:c r="E14" s="28"/>
      <x:c r="F14" s="28"/>
      <x:c r="G14" s="28"/>
      <x:c r="H14" s="28"/>
    </x:row>
    <x:row r="15">
      <x:c r="A15" t="n">
        <x:v>12</x:v>
      </x:c>
      <x:c r="B15" s="28"/>
      <x:c r="C15" s="28"/>
      <x:c r="D15" s="28"/>
      <x:c r="E15" s="28"/>
      <x:c r="F15" s="28"/>
      <x:c r="G15" s="28"/>
      <x:c r="H15" s="28"/>
    </x:row>
    <x:row r="16">
      <x:c r="A16" t="n">
        <x:v>13</x:v>
      </x:c>
      <x:c r="B16" s="28"/>
      <x:c r="C16" s="28"/>
      <x:c r="D16" s="28"/>
      <x:c r="E16" s="28"/>
      <x:c r="F16" s="28"/>
      <x:c r="G16" s="28"/>
      <x:c r="H16" s="28"/>
    </x:row>
    <x:row r="17">
      <x:c r="A17" t="n">
        <x:v>14</x:v>
      </x:c>
      <x:c r="B17" s="28"/>
      <x:c r="C17" s="28"/>
      <x:c r="D17" s="28"/>
      <x:c r="E17" s="28"/>
      <x:c r="F17" s="28"/>
      <x:c r="G17" s="28"/>
      <x:c r="H17" s="28"/>
    </x:row>
    <x:row r="18">
      <x:c r="A18" t="n">
        <x:v>15</x:v>
      </x:c>
      <x:c r="B18" s="28"/>
      <x:c r="C18" s="28"/>
      <x:c r="D18" s="28"/>
      <x:c r="E18" s="28"/>
      <x:c r="F18" s="28"/>
      <x:c r="G18" s="28"/>
      <x:c r="H18" s="28"/>
    </x:row>
    <x:row r="19">
      <x:c r="A19" t="n">
        <x:v>16</x:v>
      </x:c>
      <x:c r="B19" s="28"/>
      <x:c r="C19" s="28"/>
      <x:c r="D19" s="28"/>
      <x:c r="E19" s="28"/>
      <x:c r="F19" s="28"/>
      <x:c r="G19" s="28"/>
      <x:c r="H19" s="28"/>
    </x:row>
    <x:row r="20">
      <x:c r="A20" t="n">
        <x:v>17</x:v>
      </x:c>
      <x:c r="B20" s="28"/>
      <x:c r="C20" s="28"/>
      <x:c r="D20" s="28"/>
      <x:c r="E20" s="28"/>
      <x:c r="F20" s="28"/>
      <x:c r="G20" s="28"/>
      <x:c r="H20" s="28"/>
    </x:row>
    <x:row r="21">
      <x:c r="A21" t="n">
        <x:v>18</x:v>
      </x:c>
      <x:c r="B21" s="28"/>
      <x:c r="C21" s="28"/>
      <x:c r="D21" s="28"/>
      <x:c r="E21" s="28"/>
      <x:c r="F21" s="28"/>
      <x:c r="G21" s="28"/>
      <x:c r="H21" s="28"/>
    </x:row>
    <x:row r="22">
      <x:c r="A22" t="n">
        <x:v>19</x:v>
      </x:c>
      <x:c r="B22" s="28"/>
      <x:c r="C22" s="28"/>
      <x:c r="D22" s="28"/>
      <x:c r="E22" s="28"/>
      <x:c r="F22" s="28"/>
      <x:c r="G22" s="28"/>
      <x:c r="H22" s="28"/>
    </x:row>
    <x:row r="23">
      <x:c r="A23" t="n">
        <x:v>20</x:v>
      </x:c>
      <x:c r="B23" s="28"/>
      <x:c r="C23" s="28"/>
      <x:c r="D23" s="28"/>
      <x:c r="E23" s="28"/>
      <x:c r="F23" s="28"/>
      <x:c r="G23" s="28"/>
      <x:c r="H23" s="28"/>
    </x:row>
    <x:row r="25">
      <x:c r="A25" s="26" t="str">
        <x:v>Moyenne générale</x:v>
      </x:c>
      <x:c r="B25" s="27" t="n">
        <x:f>IFERROR(AVERAGE(C4:G23),0)</x:f>
        <x:v>0</x:v>
      </x:c>
    </x:row>
  </x:sheetData>
  <x:mergeCells>
    <x:mergeCell ref="A1:H1"/>
  </x:mergeCells>
  <x:dataValidations count="5">
    <x:dataValidation type="whole" operator="between" sqref="C4:C23">
      <x:formula1>1</x:formula1>
      <x:formula2>5</x:formula2>
    </x:dataValidation>
    <x:dataValidation type="whole" operator="between" sqref="D4:D23">
      <x:formula1>1</x:formula1>
      <x:formula2>5</x:formula2>
    </x:dataValidation>
    <x:dataValidation type="whole" operator="between" sqref="E4:E23">
      <x:formula1>1</x:formula1>
      <x:formula2>5</x:formula2>
    </x:dataValidation>
    <x:dataValidation type="whole" operator="between" sqref="F4:F23">
      <x:formula1>1</x:formula1>
      <x:formula2>5</x:formula2>
    </x:dataValidation>
    <x:dataValidation type="whole" operator="between" sqref="G4:G23">
      <x:formula1>1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6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32" t="str">
        <x:v>TABLEAU DE BORD FORMATION</x:v>
      </x:c>
      <x:c r="B1" s="32"/>
      <x:c r="C1" s="32"/>
      <x:c r="D1" s="32"/>
      <x:c r="E1" s="32"/>
      <x:c r="F1" s="32"/>
      <x:c r="G1" s="32"/>
      <x:c r="H1" s="32"/>
    </x:row>
    <x:row r="2">
      <x:c r="A2" s="28"/>
      <x:c r="B2" s="28"/>
      <x:c r="C2" s="28"/>
      <x:c r="D2" s="28"/>
      <x:c r="E2" s="28"/>
      <x:c r="F2" s="28"/>
      <x:c r="G2" s="28"/>
      <x:c r="H2" s="28"/>
    </x:row>
    <x:row r="3">
      <x:c r="A3" s="12" t="str">
        <x:v>Indicateur</x:v>
      </x:c>
      <x:c r="B3" s="14" t="str">
        <x:v>Valeur</x:v>
      </x:c>
      <x:c r="C3" s="28"/>
      <x:c r="D3" s="12" t="str">
        <x:v>Seuils de validation</x:v>
      </x:c>
      <x:c r="E3" s="14" t="str">
        <x:v>Valeur</x:v>
      </x:c>
      <x:c r="F3" s="28"/>
      <x:c r="G3" s="28"/>
      <x:c r="H3" s="28"/>
    </x:row>
    <x:row r="4">
      <x:c r="A4" s="28" t="str">
        <x:v>Participants inscrits</x:v>
      </x:c>
      <x:c r="B4" s="28" t="n">
        <x:f>COUNTIF('Participants'!B4:B23,"?*")</x:f>
        <x:v>0</x:v>
      </x:c>
      <x:c r="C4" s="28"/>
      <x:c r="D4" s="28" t="str">
        <x:v>QCM minimum</x:v>
      </x:c>
      <x:c r="E4" s="28" t="n">
        <x:v>7</x:v>
      </x:c>
      <x:c r="F4" s="28"/>
      <x:c r="G4" s="28"/>
      <x:c r="H4" s="28"/>
    </x:row>
    <x:row r="5">
      <x:c r="A5" s="28" t="str">
        <x:v>Présents matin</x:v>
      </x:c>
      <x:c r="B5" s="28" t="n">
        <x:f>COUNTIF('Participants'!F4:F23,"OUI")</x:f>
        <x:v>0</x:v>
      </x:c>
      <x:c r="C5" s="28"/>
      <x:c r="D5" s="28" t="str">
        <x:v>Pratique minimum</x:v>
      </x:c>
      <x:c r="E5" s="28" t="n">
        <x:v>14</x:v>
      </x:c>
      <x:c r="F5" s="28"/>
      <x:c r="G5" s="28"/>
      <x:c r="H5" s="28"/>
    </x:row>
    <x:row r="6">
      <x:c r="A6" s="28" t="str">
        <x:v>Présents après-midi</x:v>
      </x:c>
      <x:c r="B6" s="28" t="n">
        <x:f>COUNTIF('Participants'!G4:G23,"OUI")</x:f>
        <x:v>0</x:v>
      </x:c>
      <x:c r="C6" s="28"/>
      <x:c r="D6" s="28" t="str">
        <x:v>Total minimum</x:v>
      </x:c>
      <x:c r="E6" s="28" t="n">
        <x:v>21</x:v>
      </x:c>
      <x:c r="F6" s="28"/>
      <x:c r="G6" s="28"/>
      <x:c r="H6" s="28"/>
    </x:row>
    <x:row r="7">
      <x:c r="A7" s="28" t="str">
        <x:v>Score moyen /30</x:v>
      </x:c>
      <x:c r="B7" s="33" t="n">
        <x:f>IFERROR(AVERAGE('Participants'!J4:J23),0)</x:f>
        <x:v>0</x:v>
      </x:c>
      <x:c r="C7" s="28"/>
      <x:c r="D7" s="28" t="str">
        <x:v>Satisfaction cible</x:v>
      </x:c>
      <x:c r="E7" s="28" t="n">
        <x:v>4</x:v>
      </x:c>
      <x:c r="F7" s="28"/>
      <x:c r="G7" s="28"/>
      <x:c r="H7" s="28"/>
    </x:row>
    <x:row r="8">
      <x:c r="A8" s="28" t="str">
        <x:v>Taux de réussite</x:v>
      </x:c>
      <x:c r="B8" s="34" t="n">
        <x:f>IFERROR(COUNTIF('Participants'!K4:K23,"VALIDÉ")/COUNTIF('Participants'!B4:B23,"?*"),0)</x:f>
        <x:v>0</x:v>
      </x:c>
      <x:c r="C8" s="28"/>
      <x:c r="D8" s="28" t="str">
        <x:v>Suivi post-formation</x:v>
      </x:c>
      <x:c r="E8" s="28" t="str">
        <x:v>J+7</x:v>
      </x:c>
      <x:c r="F8" s="28"/>
      <x:c r="G8" s="28"/>
      <x:c r="H8" s="28"/>
    </x:row>
    <x:row r="9">
      <x:c r="A9" s="28"/>
      <x:c r="B9" s="28"/>
      <x:c r="C9" s="28"/>
      <x:c r="D9" s="28"/>
      <x:c r="E9" s="28"/>
      <x:c r="F9" s="28"/>
      <x:c r="G9" s="28"/>
      <x:c r="H9" s="28"/>
    </x:row>
    <x:row r="10">
      <x:c r="A10" s="35" t="str">
        <x:v>Actions post-formation</x:v>
      </x:c>
      <x:c r="B10" s="35"/>
      <x:c r="C10" s="35"/>
      <x:c r="D10" s="35"/>
      <x:c r="E10" s="35"/>
      <x:c r="F10" s="35"/>
      <x:c r="G10" s="35"/>
      <x:c r="H10" s="35"/>
    </x:row>
    <x:row r="11">
      <x:c r="A11" s="12" t="str">
        <x:v>Action</x:v>
      </x:c>
      <x:c r="B11" s="13" t="str">
        <x:v>Responsable</x:v>
      </x:c>
      <x:c r="C11" s="13" t="str">
        <x:v>Échéance</x:v>
      </x:c>
      <x:c r="D11" s="14" t="str">
        <x:v>Statut</x:v>
      </x:c>
      <x:c r="E11" s="28" t="str">
        <x:v>Observation</x:v>
      </x:c>
      <x:c r="F11" s="28" t="str"/>
      <x:c r="G11" s="28" t="str"/>
      <x:c r="H11" s="28" t="str"/>
    </x:row>
    <x:row r="12">
      <x:c r="A12" s="28" t="str">
        <x:v>Diffuser les supports</x:v>
      </x:c>
      <x:c r="B12" s="28" t="str"/>
      <x:c r="C12" s="28" t="str"/>
      <x:c r="D12" s="28" t="str"/>
      <x:c r="E12" s="28" t="str"/>
      <x:c r="F12" s="28" t="str"/>
      <x:c r="G12" s="28" t="str"/>
      <x:c r="H12" s="28" t="str"/>
    </x:row>
    <x:row r="13">
      <x:c r="A13" s="28" t="str">
        <x:v>Traiter les questions ouvertes</x:v>
      </x:c>
      <x:c r="B13" s="28" t="str"/>
      <x:c r="C13" s="28" t="str"/>
      <x:c r="D13" s="28" t="str"/>
      <x:c r="E13" s="28" t="str"/>
      <x:c r="F13" s="28" t="str"/>
      <x:c r="G13" s="28" t="str"/>
      <x:c r="H13" s="28" t="str"/>
    </x:row>
    <x:row r="14">
      <x:c r="A14" s="28" t="str">
        <x:v>Point d’accompagnement J+7</x:v>
      </x:c>
      <x:c r="B14" s="28" t="str"/>
      <x:c r="C14" s="28" t="str"/>
      <x:c r="D14" s="28" t="str"/>
      <x:c r="E14" s="28" t="str"/>
      <x:c r="F14" s="28" t="str"/>
      <x:c r="G14" s="28" t="str"/>
      <x:c r="H14" s="28" t="str"/>
    </x:row>
  </x:sheetData>
  <x:mergeCells>
    <x:mergeCell ref="A1:H1"/>
    <x:mergeCell ref="A10:H10"/>
  </x:mergeCells>
  <x:dataValidations count="1">
    <x:dataValidation type="list" sqref="D12:D14">
      <x:formula1>"À FAIRE,EN COURS,TERMINÉ"</x:formula1>
    </x:dataValidation>
  </x:dataValidations>
  <x:pageMargins left="0.7" right="0.7" top="0.75" bottom="0.75" header="0.3" footer="0.3"/>
</x:worksheet>
</file>