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8_{C802EBE3-F933-4827-B9BE-DED5041198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YPPOTHESE ACTUARIELLE" sheetId="4" r:id="rId1"/>
    <sheet name="CAPITAL DECES EN ACTIVITE" sheetId="5" r:id="rId2"/>
  </sheets>
  <externalReferences>
    <externalReference r:id="rId3"/>
    <externalReference r:id="rId4"/>
    <externalReference r:id="rId5"/>
    <externalReference r:id="rId6"/>
  </externalReferences>
  <definedNames>
    <definedName name="acqui">'[1]DONNEES TECHNIQUES'!$F$25</definedName>
    <definedName name="age_max">'[2]EVALUATION CAPITAL CONST'!$D$6</definedName>
    <definedName name="Age_prêt">'[1]PRET RBM PER'!$F$14</definedName>
    <definedName name="agemax_ascendant">'[3]DONNEES TECH'!$H$13</definedName>
    <definedName name="agemax_enfant">'[3]DONNEES TECH'!$H$11</definedName>
    <definedName name="agesimulprêt">'[3]SIMULATION COLL EMPRUNT'!$J$10</definedName>
    <definedName name="AGRES">#REF!</definedName>
    <definedName name="base">#REF!</definedName>
    <definedName name="capfad1">[3]FICHETARIFICATION!$I$15</definedName>
    <definedName name="capfad2">[3]FICHETARIFICATION!$I$16</definedName>
    <definedName name="capfad3">[3]FICHETARIFICATION!$I$17</definedName>
    <definedName name="capfco1">[3]FICHETARIFICATION!$J$15</definedName>
    <definedName name="capfco2">[3]FICHETARIFICATION!$J$16</definedName>
    <definedName name="capfco3">[3]FICHETARIFICATION!$J$17</definedName>
    <definedName name="capfen1">[3]FICHETARIFICATION!$K$15</definedName>
    <definedName name="capfen2">[3]FICHETARIFICATION!$K$16</definedName>
    <definedName name="capfen3">[3]FICHETARIFICATION!$K$17</definedName>
    <definedName name="coût_avn">'[3]DONNEES TECH'!#REF!</definedName>
    <definedName name="d">#REF!</definedName>
    <definedName name="d_m">#REF!</definedName>
    <definedName name="d_prêt">#REF!</definedName>
    <definedName name="d_td">#REF!</definedName>
    <definedName name="Dat_Eva">'[4]PRECOMPTE REVALORISER'!$D$9</definedName>
    <definedName name="Dat_Eval">'[2]EVALUATION CAPITAL CONST'!$D$9</definedName>
    <definedName name="Dat_modif">#REF!</definedName>
    <definedName name="date_premier_paiement">'[2]SIMU CAPITAL ACQUIT'!#REF!</definedName>
    <definedName name="dif">'[3]TABLE EVL EMPRUNT'!$L$2</definedName>
    <definedName name="dif_prêt">'[1]PRET RBM PER'!$F$21</definedName>
    <definedName name="difschéma_1">'[3]SIMULATION COLL EMPRUNT'!$D$16</definedName>
    <definedName name="difschéma_10">'[3]SIMULATION COLL EMPRUNT'!$J$20</definedName>
    <definedName name="difschéma_2">'[3]SIMULATION COLL EMPRUNT'!$D$17</definedName>
    <definedName name="difschéma_3">'[3]SIMULATION COLL EMPRUNT'!$D$18</definedName>
    <definedName name="difschéma_4">'[3]SIMULATION COLL EMPRUNT'!$D$19</definedName>
    <definedName name="difschéma_5">'[3]SIMULATION COLL EMPRUNT'!$D$20</definedName>
    <definedName name="difschéma_6">'[3]SIMULATION COLL EMPRUNT'!$J$16</definedName>
    <definedName name="difschéma_7">'[3]SIMULATION COLL EMPRUNT'!$J$17</definedName>
    <definedName name="difschéma_8">'[3]SIMULATION COLL EMPRUNT'!$J$18</definedName>
    <definedName name="difschéma_9">'[3]SIMULATION COLL EMPRUNT'!$J$19</definedName>
    <definedName name="durrembschéma_1">'[3]SIMULATION COLL EMPRUNT'!$E$16</definedName>
    <definedName name="durrembschéma_10">'[3]SIMULATION COLL EMPRUNT'!$K$20</definedName>
    <definedName name="durrembschéma_2">'[3]SIMULATION COLL EMPRUNT'!$E$17</definedName>
    <definedName name="durrembschéma_3">'[3]SIMULATION COLL EMPRUNT'!$E$18</definedName>
    <definedName name="durrembschéma_4">'[3]SIMULATION COLL EMPRUNT'!$E$19</definedName>
    <definedName name="durrembschéma_5">'[3]SIMULATION COLL EMPRUNT'!$E$20</definedName>
    <definedName name="durrembschéma_6">'[3]SIMULATION COLL EMPRUNT'!$K$16</definedName>
    <definedName name="durrembschéma_7">'[3]SIMULATION COLL EMPRUNT'!$K$17</definedName>
    <definedName name="durrembschéma_8">'[3]SIMULATION COLL EMPRUNT'!$K$18</definedName>
    <definedName name="durrembschéma_9">'[3]SIMULATION COLL EMPRUNT'!$K$19</definedName>
    <definedName name="ecart_ascendant">'[3]DONNEES TECH'!$H$12</definedName>
    <definedName name="ecart_conjoint">'[3]DONNEES TECH'!$H$9</definedName>
    <definedName name="Ecart_enfant">'[3]DONNEES TECH'!$H$10</definedName>
    <definedName name="effet">'[2]SIMU CAPITAL ACQUIT'!#REF!</definedName>
    <definedName name="enc">'[1]DONNEES TECHNIQUES'!$F$27</definedName>
    <definedName name="g">'HYPPOTHESE ACTUARIELLE'!$C$7</definedName>
    <definedName name="gest">'[3]DONNEES TECH'!$E$17</definedName>
    <definedName name="i">'HYPPOTHESE ACTUARIELLE'!$C$3</definedName>
    <definedName name="i_m">#REF!</definedName>
    <definedName name="initial">'[3]TABLE EVL EMPRUNT'!$A$2</definedName>
    <definedName name="int">'[3]TABLE EVL EMPRUNT'!$K$2</definedName>
    <definedName name="int_equi">'[3]TABLE EVL EMPRUNT'!$C$2</definedName>
    <definedName name="intrembschéma_1">'[3]SIMULATION COLL EMPRUNT'!$C$16</definedName>
    <definedName name="intrembschéma_10">'[3]SIMULATION COLL EMPRUNT'!$I$20</definedName>
    <definedName name="intrembschéma_2">'[3]SIMULATION COLL EMPRUNT'!$C$17</definedName>
    <definedName name="intrembschéma_3">'[3]SIMULATION COLL EMPRUNT'!$C$18</definedName>
    <definedName name="intrembschéma_4">'[3]SIMULATION COLL EMPRUNT'!$C$19</definedName>
    <definedName name="intrembschéma_5">'[3]SIMULATION COLL EMPRUNT'!$C$20</definedName>
    <definedName name="intrembschéma_6">'[3]SIMULATION COLL EMPRUNT'!$I$16</definedName>
    <definedName name="intrembschéma_7">'[3]SIMULATION COLL EMPRUNT'!$I$17</definedName>
    <definedName name="intrembschéma_8">'[3]SIMULATION COLL EMPRUNT'!$I$18</definedName>
    <definedName name="intrembschéma_9">'[3]SIMULATION COLL EMPRUNT'!$I$19</definedName>
    <definedName name="invpérsimulprêt_remb">'[3]SIMULATION COLL EMPRUNT'!$A$2</definedName>
    <definedName name="invpérsimulprime_prêt">'[3]SIMULATION COLL EMPRUNT'!$G$2</definedName>
    <definedName name="ip">'HYPPOTHESE ACTUARIELLE'!$C$4</definedName>
    <definedName name="m">#REF!</definedName>
    <definedName name="ok">[2]Feuil2!$D$6</definedName>
    <definedName name="per_prime">'[1]PRET RBM PER'!$F$23</definedName>
    <definedName name="pér_prime">[3]FICHETARIFICATION!$M$10</definedName>
    <definedName name="per_remb">'[3]TABLE EVL EMPRUNT'!$J$2</definedName>
    <definedName name="per_remb_prêt">'[1]PRET RBM PER'!$F$18</definedName>
    <definedName name="pérsimul_prime">'[3]SIMULATION PREVOYCE'!$L$10</definedName>
    <definedName name="pérsimulprêt_remb">'[3]SIMULATION COLL EMPRUNT'!$J$11</definedName>
    <definedName name="pérsimulprime_prêt">'[3]SIMULATION COLL EMPRUNT'!$J$12</definedName>
    <definedName name="pr">'HYPPOTHESE ACTUARIELLE'!$C$8</definedName>
    <definedName name="primffcadr">[3]FICHETARIFICATION!$I$24</definedName>
    <definedName name="rho">#REF!</definedName>
    <definedName name="table">#REF!</definedName>
    <definedName name="table_garantie">[3]FICHETARIFICATION!$B$15:$O$18</definedName>
    <definedName name="tableprime_fun">'[3]TABLE EVAL BORD'!$I$30:$P$33</definedName>
    <definedName name="tableprimesimul_fun">'[3]TABLE EVAL SIMUL'!$H$30:$S$33</definedName>
    <definedName name="tablesimul_garantie">'[3]SIMULATION PREVOYCE'!$B$13:$M$18</definedName>
    <definedName name="taux_charg">'[3]DONNEES TECH'!$H$7</definedName>
    <definedName name="taux_interêt">'[2]EVALUATION CAPITAL CONST'!$D$3</definedName>
    <definedName name="taux_tech">'[3]DONNEES TECH'!$D$5</definedName>
    <definedName name="tauxaccident">'[3]DONNEES TECH'!$H$16</definedName>
    <definedName name="tauxacqui_décès">'[3]DONNEES TECH'!$C$18</definedName>
    <definedName name="tauxacqui_fun">'[3]DONNEES TECH'!$C$19</definedName>
    <definedName name="tauxbase_prêt">'[3]TABLE EVL EMPRUNT'!$AP$23</definedName>
    <definedName name="tauxcap_décès">'[3]DONNEES TECH'!$E$18</definedName>
    <definedName name="tauxcap_fun">'[3]DONNEES TECH'!$E$19</definedName>
    <definedName name="tauxgest_décès">'[3]DONNEES TECH'!$D$18</definedName>
    <definedName name="tauxgest_fun">'[3]DONNEES TECH'!$D$19</definedName>
    <definedName name="tauxipt">'[3]DONNEES TECH'!$H$18</definedName>
    <definedName name="tauxpér_prêt">'[3]TABLE EVL EMPRUNT'!$AQ$23</definedName>
    <definedName name="tauxpérsimulprime_prêt">'[3]SIMULATION COLL EMPRUNT'!$I$2</definedName>
    <definedName name="tauxprimepérsal_décès">'[3]TABLE EVAL BORD'!$M$17</definedName>
    <definedName name="tauxsimulpér_décès">'[3]TABLE EVAL SIMUL'!$L$17</definedName>
    <definedName name="tauxsimulpér_prime">'[3]SIMULATION PREVOYCE'!$B$2</definedName>
    <definedName name="tauxtarifpér_prime">[3]FICHETARIFICATION!$B$2</definedName>
    <definedName name="tauxunique_prêt">'[3]TABLE EVL EMPRUNT'!$AR$23</definedName>
    <definedName name="tep">#REF!</definedName>
    <definedName name="tps">#REF!</definedName>
    <definedName name="trait_dif">#REF!</definedName>
    <definedName name="tx_gestion">'[2]EVALUATION CAPITAL CONST'!$D$7</definedName>
    <definedName name="tx_int_périod">'[2]EVALUATION CAPITAL CONST'!$D$4</definedName>
    <definedName name="v">'HYPPOTHESE ACTUARIELLE'!$C$5</definedName>
    <definedName name="viel">'[3]DONNEES TECH'!$H$6</definedName>
    <definedName name="w">'HYPPOTHESE ACTUARIELLE'!$C$6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4" l="1"/>
  <c r="C5" i="4"/>
  <c r="C4" i="4"/>
  <c r="C3" i="4"/>
  <c r="G9" i="5" l="1"/>
  <c r="H9" i="5" l="1"/>
  <c r="I9" i="5" l="1"/>
  <c r="J9" i="5" s="1"/>
</calcChain>
</file>

<file path=xl/sharedStrings.xml><?xml version="1.0" encoding="utf-8"?>
<sst xmlns="http://schemas.openxmlformats.org/spreadsheetml/2006/main" count="28" uniqueCount="28">
  <si>
    <t>Hypothèses actuarielles</t>
  </si>
  <si>
    <t>Taux d'intérêt</t>
  </si>
  <si>
    <t>i</t>
  </si>
  <si>
    <t>Taux d'intérêt périodique</t>
  </si>
  <si>
    <t>ip</t>
  </si>
  <si>
    <t>Facteur d'actualisation</t>
  </si>
  <si>
    <t>v</t>
  </si>
  <si>
    <t>Age maximum</t>
  </si>
  <si>
    <t>w</t>
  </si>
  <si>
    <t>Frais de gestion</t>
  </si>
  <si>
    <t>g</t>
  </si>
  <si>
    <t>Pénalité de rachat</t>
  </si>
  <si>
    <t>pr</t>
  </si>
  <si>
    <t>Date d'évaluation</t>
  </si>
  <si>
    <t>Dat_Eval</t>
  </si>
  <si>
    <t>Matricule</t>
  </si>
  <si>
    <t>Date d'adhésion (PRIME 1)</t>
  </si>
  <si>
    <t>Durée courue en trimestre</t>
  </si>
  <si>
    <t>Prov Math Commerciale</t>
  </si>
  <si>
    <t>Prov de Charges de gestion</t>
  </si>
  <si>
    <t>Pénalité de résiliation (5%)</t>
  </si>
  <si>
    <t>PM NOMBRE DE TRIMESTRE</t>
  </si>
  <si>
    <t xml:space="preserve"> </t>
  </si>
  <si>
    <t>Moyenne Prime Trimestrielle</t>
  </si>
  <si>
    <t>Date de décès</t>
  </si>
  <si>
    <t>Montant à reverser aux ayants droits</t>
  </si>
  <si>
    <t>827057K</t>
  </si>
  <si>
    <t>FEUILLE DE CALCUL REMBOURSEMENT CAPITAL DECES AGENT EN ACTIVITE "MADGI-ESR"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</si>
</sst>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\$#,##0_);\(\$#,##0\)"/>
    <numFmt numFmtId="165" formatCode="#,##0\ \F\C\F\A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color theme="1"/>
      <name val="Calisto MT"/>
      <family val="1"/>
    </font>
    <font>
      <b/>
      <i/>
      <sz val="12"/>
      <name val="Calisto MT"/>
      <family val="1"/>
    </font>
    <font>
      <b/>
      <sz val="12"/>
      <color theme="1"/>
      <name val="Calisto MT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5" fillId="4" borderId="5" xfId="0" applyFont="1" applyFill="1" applyBorder="1"/>
    <xf numFmtId="0" fontId="6" fillId="0" borderId="5" xfId="0" applyFont="1" applyBorder="1"/>
    <xf numFmtId="10" fontId="6" fillId="0" borderId="5" xfId="1" applyNumberFormat="1" applyFont="1" applyBorder="1"/>
    <xf numFmtId="0" fontId="5" fillId="4" borderId="5" xfId="0" applyFont="1" applyFill="1" applyBorder="1" applyAlignment="1">
      <alignment wrapText="1"/>
    </xf>
    <xf numFmtId="9" fontId="6" fillId="0" borderId="5" xfId="1" applyFont="1" applyBorder="1"/>
    <xf numFmtId="0" fontId="5" fillId="4" borderId="6" xfId="0" applyFont="1" applyFill="1" applyBorder="1"/>
    <xf numFmtId="0" fontId="6" fillId="0" borderId="6" xfId="0" applyFont="1" applyBorder="1"/>
    <xf numFmtId="9" fontId="6" fillId="0" borderId="6" xfId="1" applyFont="1" applyBorder="1"/>
    <xf numFmtId="0" fontId="7" fillId="2" borderId="7" xfId="0" applyFont="1" applyFill="1" applyBorder="1"/>
    <xf numFmtId="14" fontId="7" fillId="2" borderId="7" xfId="0" applyNumberFormat="1" applyFont="1" applyFill="1" applyBorder="1"/>
    <xf numFmtId="165" fontId="0" fillId="3" borderId="0" xfId="0" applyNumberForma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</cellXfs>
  <cellStyles count="4">
    <cellStyle name="Milliers [0] 2" xfId="3" xr:uid="{00000000-0005-0000-0000-000000000000}"/>
    <cellStyle name="Normal" xfId="0" builtinId="0"/>
    <cellStyle name="Normal 2" xfId="2" xr:uid="{00000000-0005-0000-0000-00000200000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yale-vie2\adou\SIM_GRP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O%20LANDRY/Desktop/AMAT%20CI/SANTE%20DU%20RETRAITE_AMATCI%201404(TEST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OUASSI_F/Documents/PROJETS/TARIFICATION/ASCOMA/Tarification%20ASCOMA%20PREVOYAN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82021/Desktop/SIMMU%20COTISATION/SDR%202021%20NOUVELLE%20PRIME%20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NIQUES"/>
      <sheetName val="PREVO GRPE"/>
      <sheetName val="PRET RBM PER"/>
      <sheetName val="TABLE DE BASE"/>
      <sheetName val="PRET RBM UNQ"/>
      <sheetName val="CALCULS DE BASE"/>
      <sheetName val="BASE RBM UNQ"/>
    </sheetNames>
    <sheetDataSet>
      <sheetData sheetId="0" refreshError="1">
        <row r="25">
          <cell r="F25">
            <v>0.2</v>
          </cell>
        </row>
        <row r="27">
          <cell r="F27">
            <v>0.03</v>
          </cell>
        </row>
      </sheetData>
      <sheetData sheetId="1"/>
      <sheetData sheetId="2" refreshError="1">
        <row r="14">
          <cell r="F14">
            <v>40</v>
          </cell>
        </row>
        <row r="18">
          <cell r="F18">
            <v>12</v>
          </cell>
        </row>
        <row r="21">
          <cell r="F21">
            <v>0</v>
          </cell>
        </row>
        <row r="23">
          <cell r="F2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 MORTALITE"/>
      <sheetName val="Tarification"/>
      <sheetName val="Calcul Prime"/>
      <sheetName val="EVALUATION CAPITAL CONST"/>
      <sheetName val="dépenses champs"/>
      <sheetName val="AJUSTEMENT DES PRIMES"/>
      <sheetName val="PROVISION MATHEMATIQUE"/>
      <sheetName val="SIMU CAPITAL ACQUIT"/>
      <sheetName val="Feuil1"/>
      <sheetName val="PRECOMPTE DEC MARS JUIN"/>
      <sheetName val="Feuil2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3.5000000000000003E-2</v>
          </cell>
        </row>
        <row r="4">
          <cell r="D4">
            <v>8.6374459977134332E-3</v>
          </cell>
        </row>
        <row r="6">
          <cell r="D6">
            <v>106</v>
          </cell>
        </row>
        <row r="7">
          <cell r="D7">
            <v>0.05</v>
          </cell>
        </row>
        <row r="9">
          <cell r="D9">
            <v>44561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"/>
      <sheetName val="Table SALARIE"/>
      <sheetName val="Donnees"/>
      <sheetName val="FICHETARIFICATION"/>
      <sheetName val="BORDEREAU TARIF"/>
      <sheetName val="SIMULATION PREVOYCE"/>
      <sheetName val="SIMULATION COLL EMPRUNT"/>
      <sheetName val="TABLE EVAL BORD"/>
      <sheetName val="Parmètres de tarification"/>
      <sheetName val="TABLE EVAL SIMUL"/>
      <sheetName val="TABLE-BASE"/>
      <sheetName val="TABLE EVL EMPRUNT"/>
      <sheetName val="Feuil3"/>
      <sheetName val="TAR_MULTIPLE"/>
    </sheetNames>
    <sheetDataSet>
      <sheetData sheetId="0">
        <row r="5">
          <cell r="D5">
            <v>3.5000000000000003E-2</v>
          </cell>
        </row>
        <row r="6">
          <cell r="H6">
            <v>0</v>
          </cell>
        </row>
        <row r="7">
          <cell r="H7">
            <v>0</v>
          </cell>
        </row>
        <row r="9">
          <cell r="H9">
            <v>4</v>
          </cell>
        </row>
        <row r="10">
          <cell r="H10">
            <v>35</v>
          </cell>
        </row>
        <row r="11">
          <cell r="H11">
            <v>25</v>
          </cell>
        </row>
        <row r="12">
          <cell r="H12">
            <v>25</v>
          </cell>
        </row>
        <row r="13">
          <cell r="H13">
            <v>70</v>
          </cell>
        </row>
        <row r="16">
          <cell r="H16">
            <v>8.9999999999999998E-4</v>
          </cell>
        </row>
        <row r="17">
          <cell r="E17" t="str">
            <v>%Cap</v>
          </cell>
        </row>
        <row r="18">
          <cell r="C18">
            <v>0.1</v>
          </cell>
          <cell r="D18">
            <v>0.1</v>
          </cell>
          <cell r="E18">
            <v>2.9999999999999997E-4</v>
          </cell>
          <cell r="H18">
            <v>8.9999999999999998E-4</v>
          </cell>
        </row>
        <row r="19">
          <cell r="C19">
            <v>0.25</v>
          </cell>
          <cell r="D19">
            <v>0.1</v>
          </cell>
          <cell r="E19">
            <v>0</v>
          </cell>
        </row>
      </sheetData>
      <sheetData sheetId="1" refreshError="1"/>
      <sheetData sheetId="2" refreshError="1"/>
      <sheetData sheetId="3">
        <row r="2">
          <cell r="B2">
            <v>3.499999999999992E-2</v>
          </cell>
        </row>
        <row r="10">
          <cell r="M10">
            <v>1</v>
          </cell>
        </row>
        <row r="15">
          <cell r="B15">
            <v>1</v>
          </cell>
          <cell r="C15">
            <v>55</v>
          </cell>
          <cell r="E15">
            <v>1000000</v>
          </cell>
          <cell r="F15">
            <v>0</v>
          </cell>
          <cell r="G15">
            <v>0</v>
          </cell>
          <cell r="L15">
            <v>0</v>
          </cell>
          <cell r="M15">
            <v>0.9</v>
          </cell>
          <cell r="N15">
            <v>4</v>
          </cell>
          <cell r="O15">
            <v>0</v>
          </cell>
        </row>
        <row r="16">
          <cell r="B16">
            <v>2</v>
          </cell>
          <cell r="C16">
            <v>55</v>
          </cell>
          <cell r="E16">
            <v>1000000</v>
          </cell>
          <cell r="F16">
            <v>0</v>
          </cell>
          <cell r="G16">
            <v>0</v>
          </cell>
          <cell r="L16">
            <v>0</v>
          </cell>
          <cell r="M16">
            <v>0.9</v>
          </cell>
          <cell r="N16">
            <v>4</v>
          </cell>
          <cell r="O16">
            <v>0</v>
          </cell>
        </row>
        <row r="17">
          <cell r="B17">
            <v>3</v>
          </cell>
          <cell r="C17">
            <v>55</v>
          </cell>
          <cell r="E17">
            <v>1000000</v>
          </cell>
          <cell r="F17">
            <v>0</v>
          </cell>
          <cell r="G17">
            <v>0</v>
          </cell>
          <cell r="L17">
            <v>0</v>
          </cell>
          <cell r="M17">
            <v>0.9</v>
          </cell>
          <cell r="N17">
            <v>4</v>
          </cell>
          <cell r="O17">
            <v>0</v>
          </cell>
        </row>
        <row r="18">
          <cell r="B18">
            <v>4</v>
          </cell>
          <cell r="C18">
            <v>55</v>
          </cell>
          <cell r="E18">
            <v>1000000</v>
          </cell>
          <cell r="F18">
            <v>0</v>
          </cell>
          <cell r="G18">
            <v>0</v>
          </cell>
          <cell r="I18">
            <v>1000000</v>
          </cell>
          <cell r="J18">
            <v>500000</v>
          </cell>
          <cell r="K18">
            <v>250000</v>
          </cell>
          <cell r="L18">
            <v>0</v>
          </cell>
          <cell r="M18">
            <v>0.8</v>
          </cell>
          <cell r="N18">
            <v>4</v>
          </cell>
          <cell r="O18">
            <v>0</v>
          </cell>
        </row>
        <row r="24">
          <cell r="I24">
            <v>0</v>
          </cell>
        </row>
      </sheetData>
      <sheetData sheetId="4" refreshError="1"/>
      <sheetData sheetId="5">
        <row r="2">
          <cell r="B2">
            <v>3.4450784628919706E-2</v>
          </cell>
        </row>
        <row r="10">
          <cell r="L10">
            <v>12</v>
          </cell>
        </row>
        <row r="13">
          <cell r="B13" t="str">
            <v>Code</v>
          </cell>
          <cell r="C13" t="str">
            <v>Age moy.</v>
          </cell>
          <cell r="D13" t="str">
            <v>Age max.</v>
          </cell>
          <cell r="E13" t="str">
            <v>Capital Décès (Mont Forf.)</v>
          </cell>
          <cell r="F13" t="str">
            <v>Acc (xdec)</v>
          </cell>
          <cell r="G13" t="str">
            <v>IPT (xdec)</v>
          </cell>
          <cell r="I13" t="str">
            <v>Frais funéraires</v>
          </cell>
          <cell r="L13" t="str">
            <v>Moy. ConJ</v>
          </cell>
          <cell r="M13" t="str">
            <v>Moy. Enft</v>
          </cell>
        </row>
        <row r="14">
          <cell r="I14" t="str">
            <v>Adhérent</v>
          </cell>
          <cell r="J14" t="str">
            <v>Conjoint</v>
          </cell>
          <cell r="K14" t="str">
            <v>Enfant</v>
          </cell>
        </row>
        <row r="15">
          <cell r="B15">
            <v>1</v>
          </cell>
          <cell r="C15">
            <v>45</v>
          </cell>
          <cell r="D15">
            <v>65</v>
          </cell>
          <cell r="E15">
            <v>20000000</v>
          </cell>
          <cell r="F15">
            <v>1</v>
          </cell>
          <cell r="G15">
            <v>1</v>
          </cell>
          <cell r="I15">
            <v>1000000</v>
          </cell>
          <cell r="J15">
            <v>1000000</v>
          </cell>
          <cell r="K15">
            <v>500000</v>
          </cell>
          <cell r="L15">
            <v>1</v>
          </cell>
          <cell r="M15">
            <v>4</v>
          </cell>
        </row>
        <row r="16">
          <cell r="B16">
            <v>2</v>
          </cell>
          <cell r="C16">
            <v>45</v>
          </cell>
          <cell r="D16">
            <v>65</v>
          </cell>
          <cell r="E16">
            <v>10000000</v>
          </cell>
          <cell r="F16">
            <v>1</v>
          </cell>
          <cell r="G16">
            <v>1</v>
          </cell>
          <cell r="I16">
            <v>750000</v>
          </cell>
          <cell r="J16">
            <v>750000</v>
          </cell>
          <cell r="K16">
            <v>350000</v>
          </cell>
          <cell r="L16">
            <v>1</v>
          </cell>
          <cell r="M16">
            <v>4</v>
          </cell>
        </row>
        <row r="17">
          <cell r="B17">
            <v>3</v>
          </cell>
          <cell r="C17">
            <v>45</v>
          </cell>
          <cell r="D17">
            <v>55</v>
          </cell>
          <cell r="E17">
            <v>5000000</v>
          </cell>
          <cell r="F17">
            <v>1</v>
          </cell>
          <cell r="G17">
            <v>1</v>
          </cell>
          <cell r="I17">
            <v>500000</v>
          </cell>
          <cell r="J17">
            <v>500000</v>
          </cell>
          <cell r="K17">
            <v>250000</v>
          </cell>
          <cell r="L17">
            <v>1</v>
          </cell>
          <cell r="M17">
            <v>4</v>
          </cell>
        </row>
        <row r="18">
          <cell r="B18">
            <v>4</v>
          </cell>
          <cell r="C18">
            <v>45</v>
          </cell>
          <cell r="D18">
            <v>55</v>
          </cell>
          <cell r="E18">
            <v>2500000</v>
          </cell>
          <cell r="F18">
            <v>1</v>
          </cell>
          <cell r="G18">
            <v>1</v>
          </cell>
          <cell r="I18">
            <v>300000</v>
          </cell>
          <cell r="J18">
            <v>300000</v>
          </cell>
          <cell r="K18">
            <v>100000</v>
          </cell>
          <cell r="L18">
            <v>1</v>
          </cell>
          <cell r="M18">
            <v>4</v>
          </cell>
        </row>
      </sheetData>
      <sheetData sheetId="6">
        <row r="2">
          <cell r="A2" t="e">
            <v>#N/A</v>
          </cell>
          <cell r="G2" t="e">
            <v>#N/A</v>
          </cell>
          <cell r="I2">
            <v>3.499999999999992E-2</v>
          </cell>
        </row>
        <row r="10">
          <cell r="J10">
            <v>40</v>
          </cell>
        </row>
        <row r="11">
          <cell r="J11">
            <v>12</v>
          </cell>
        </row>
        <row r="12">
          <cell r="J12">
            <v>1</v>
          </cell>
        </row>
        <row r="16">
          <cell r="C16">
            <v>0.15</v>
          </cell>
          <cell r="D16">
            <v>6</v>
          </cell>
          <cell r="E16">
            <v>12</v>
          </cell>
          <cell r="I16">
            <v>0.15</v>
          </cell>
          <cell r="J16">
            <v>6</v>
          </cell>
          <cell r="K16">
            <v>72</v>
          </cell>
        </row>
        <row r="17">
          <cell r="C17">
            <v>0.15</v>
          </cell>
          <cell r="D17">
            <v>6</v>
          </cell>
          <cell r="E17">
            <v>24</v>
          </cell>
          <cell r="I17">
            <v>0.15</v>
          </cell>
          <cell r="J17">
            <v>6</v>
          </cell>
          <cell r="K17">
            <v>84</v>
          </cell>
        </row>
        <row r="18">
          <cell r="C18">
            <v>0.15</v>
          </cell>
          <cell r="D18">
            <v>6</v>
          </cell>
          <cell r="E18">
            <v>36</v>
          </cell>
          <cell r="I18">
            <v>0.15</v>
          </cell>
          <cell r="J18">
            <v>6</v>
          </cell>
          <cell r="K18">
            <v>96</v>
          </cell>
        </row>
        <row r="19">
          <cell r="C19">
            <v>0.15</v>
          </cell>
          <cell r="D19">
            <v>6</v>
          </cell>
          <cell r="E19">
            <v>48</v>
          </cell>
          <cell r="I19">
            <v>0.15</v>
          </cell>
          <cell r="J19">
            <v>0</v>
          </cell>
          <cell r="K19">
            <v>108</v>
          </cell>
        </row>
        <row r="20">
          <cell r="C20">
            <v>0.15</v>
          </cell>
          <cell r="D20">
            <v>6</v>
          </cell>
          <cell r="E20">
            <v>60</v>
          </cell>
          <cell r="I20">
            <v>0.15</v>
          </cell>
          <cell r="J20">
            <v>0</v>
          </cell>
          <cell r="K20">
            <v>120</v>
          </cell>
        </row>
      </sheetData>
      <sheetData sheetId="7">
        <row r="17">
          <cell r="M17">
            <v>7.2138471527775916E-3</v>
          </cell>
        </row>
        <row r="30">
          <cell r="I30">
            <v>1</v>
          </cell>
          <cell r="L30">
            <v>0</v>
          </cell>
          <cell r="O30">
            <v>0</v>
          </cell>
        </row>
        <row r="31">
          <cell r="I31">
            <v>2</v>
          </cell>
          <cell r="L31">
            <v>0</v>
          </cell>
          <cell r="O31">
            <v>0</v>
          </cell>
        </row>
        <row r="32">
          <cell r="I32">
            <v>3</v>
          </cell>
          <cell r="L32">
            <v>0</v>
          </cell>
          <cell r="O32">
            <v>0</v>
          </cell>
        </row>
        <row r="33">
          <cell r="I33">
            <v>4</v>
          </cell>
          <cell r="L33">
            <v>12636.577050180473</v>
          </cell>
          <cell r="O33">
            <v>12636.577050180502</v>
          </cell>
        </row>
      </sheetData>
      <sheetData sheetId="8" refreshError="1"/>
      <sheetData sheetId="9">
        <row r="17">
          <cell r="L17">
            <v>5.7072534074761676E-4</v>
          </cell>
        </row>
        <row r="30">
          <cell r="H30">
            <v>1</v>
          </cell>
          <cell r="N30">
            <v>42969.194436655453</v>
          </cell>
          <cell r="Q30">
            <v>3637.8508779073254</v>
          </cell>
        </row>
        <row r="31">
          <cell r="H31">
            <v>2</v>
          </cell>
          <cell r="N31">
            <v>30753.842434876562</v>
          </cell>
          <cell r="Q31">
            <v>2603.6767541841627</v>
          </cell>
        </row>
        <row r="32">
          <cell r="H32">
            <v>3</v>
          </cell>
          <cell r="N32">
            <v>21484.597218327726</v>
          </cell>
          <cell r="Q32">
            <v>1818.9254389536627</v>
          </cell>
        </row>
        <row r="33">
          <cell r="H33">
            <v>4</v>
          </cell>
          <cell r="N33">
            <v>9944.6515457665791</v>
          </cell>
          <cell r="Q33">
            <v>841.93245487953527</v>
          </cell>
        </row>
      </sheetData>
      <sheetData sheetId="10"/>
      <sheetData sheetId="11">
        <row r="2">
          <cell r="A2">
            <v>1000000</v>
          </cell>
          <cell r="C2">
            <v>1.2499999999999999E-2</v>
          </cell>
          <cell r="J2">
            <v>12</v>
          </cell>
          <cell r="K2">
            <v>0.15</v>
          </cell>
          <cell r="L2">
            <v>0</v>
          </cell>
        </row>
        <row r="23">
          <cell r="AP23" t="e">
            <v>#N/A</v>
          </cell>
          <cell r="AQ23" t="e">
            <v>#N/A</v>
          </cell>
          <cell r="AR23" t="e">
            <v>#N/A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 MORTALITE"/>
      <sheetName val="PRECOMPTE REVALORISER"/>
      <sheetName val="COTISATION SDR"/>
      <sheetName val="PROVISION MATHEMATIQUE"/>
      <sheetName val="PM FIN DEC 2020"/>
      <sheetName val="PM FIN MARS 2021"/>
      <sheetName val="PM FIN JUIN 2021"/>
      <sheetName val="CALCULE RESILIATION"/>
      <sheetName val="ENCAISSEMENT SDR"/>
      <sheetName val="PRECOMPTE FIN JUIN 2021"/>
      <sheetName val="espece JUIN"/>
      <sheetName val="PRECOMPTE FIN SEPTEMBRE 2021"/>
      <sheetName val="PRECPTE EFFECTIF FIN SEPT 2021"/>
    </sheetNames>
    <sheetDataSet>
      <sheetData sheetId="0" refreshError="1"/>
      <sheetData sheetId="1">
        <row r="9">
          <cell r="D9">
            <v>44561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00000"/>
  </sheetPr>
  <dimension ref="A1:C10"/>
  <sheetViews>
    <sheetView workbookViewId="0">
      <selection activeCell="H13" sqref="H13"/>
    </sheetView>
  </sheetViews>
  <sheetFormatPr baseColWidth="10" defaultRowHeight="15" x14ac:dyDescent="0.25"/>
  <cols>
    <col min="3" max="3" width="20.5703125" customWidth="1"/>
  </cols>
  <sheetData>
    <row r="1" spans="1:3" x14ac:dyDescent="0.25">
      <c r="A1" s="21" t="s">
        <v>0</v>
      </c>
      <c r="B1" s="21"/>
      <c r="C1" s="21"/>
    </row>
    <row r="2" spans="1:3" x14ac:dyDescent="0.25">
      <c r="A2" s="21"/>
      <c r="B2" s="21"/>
      <c r="C2" s="21"/>
    </row>
    <row r="3" spans="1:3" ht="16.5" x14ac:dyDescent="0.3">
      <c r="A3" s="2" t="s">
        <v>1</v>
      </c>
      <c r="B3" s="3" t="s">
        <v>2</v>
      </c>
      <c r="C3" s="4">
        <f>3.5/100</f>
        <v>3.5000000000000003E-2</v>
      </c>
    </row>
    <row r="4" spans="1:3" ht="39.75" x14ac:dyDescent="0.3">
      <c r="A4" s="5" t="s">
        <v>3</v>
      </c>
      <c r="B4" s="3" t="s">
        <v>4</v>
      </c>
      <c r="C4" s="4">
        <f>+-1+(1+taux_interêt)^(1/4)</f>
        <v>8.6374459977134332E-3</v>
      </c>
    </row>
    <row r="5" spans="1:3" ht="39.75" x14ac:dyDescent="0.3">
      <c r="A5" s="5" t="s">
        <v>5</v>
      </c>
      <c r="B5" s="3" t="s">
        <v>6</v>
      </c>
      <c r="C5" s="6">
        <f>+(1/(1+taux_interêt))</f>
        <v>0.96618357487922713</v>
      </c>
    </row>
    <row r="6" spans="1:3" ht="16.5" x14ac:dyDescent="0.3">
      <c r="A6" s="2" t="s">
        <v>7</v>
      </c>
      <c r="B6" s="3" t="s">
        <v>8</v>
      </c>
      <c r="C6" s="3">
        <v>106</v>
      </c>
    </row>
    <row r="7" spans="1:3" ht="16.5" x14ac:dyDescent="0.3">
      <c r="A7" s="2" t="s">
        <v>9</v>
      </c>
      <c r="B7" s="3" t="s">
        <v>10</v>
      </c>
      <c r="C7" s="6">
        <v>0.05</v>
      </c>
    </row>
    <row r="8" spans="1:3" ht="17.25" thickBot="1" x14ac:dyDescent="0.35">
      <c r="A8" s="7" t="s">
        <v>11</v>
      </c>
      <c r="B8" s="8" t="s">
        <v>12</v>
      </c>
      <c r="C8" s="9">
        <v>0.05</v>
      </c>
    </row>
    <row r="9" spans="1:3" ht="18" thickTop="1" thickBot="1" x14ac:dyDescent="0.35">
      <c r="A9" s="10" t="s">
        <v>13</v>
      </c>
      <c r="B9" s="10" t="s">
        <v>14</v>
      </c>
      <c r="C9" s="11">
        <f ca="1">TODAY()</f>
        <v>46226</v>
      </c>
    </row>
    <row r="10" spans="1:3" ht="15.75" thickTop="1" x14ac:dyDescent="0.25"/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B2:N13"/>
  <sheetViews>
    <sheetView tabSelected="1" workbookViewId="0">
      <selection activeCell="H9" sqref="H9"/>
    </sheetView>
  </sheetViews>
  <sheetFormatPr baseColWidth="10" defaultRowHeight="15" x14ac:dyDescent="0.25"/>
  <cols>
    <col min="1" max="1" width="9.85546875" style="1" customWidth="1"/>
    <col min="2" max="2" width="11.42578125" style="1" customWidth="1"/>
    <col min="3" max="4" width="13.5703125" style="1" bestFit="1" customWidth="1"/>
    <col min="5" max="5" width="16" style="1" bestFit="1" customWidth="1"/>
    <col min="6" max="6" width="10.28515625" style="1" customWidth="1"/>
    <col min="7" max="7" width="17.7109375" style="1" bestFit="1" customWidth="1"/>
    <col min="8" max="9" width="16" style="1" bestFit="1" customWidth="1"/>
    <col min="10" max="10" width="17.85546875" style="1" bestFit="1" customWidth="1"/>
    <col min="11" max="12" width="11.42578125" style="1"/>
    <col min="13" max="13" width="11" style="1" customWidth="1"/>
    <col min="14" max="16384" width="11.42578125" style="1"/>
  </cols>
  <sheetData>
    <row r="2" spans="2:14" ht="15.75" thickBot="1" x14ac:dyDescent="0.3"/>
    <row r="3" spans="2:14" ht="19.5" thickBot="1" x14ac:dyDescent="0.35">
      <c r="C3" s="22" t="s">
        <v>27</v>
      </c>
      <c r="D3" s="23"/>
      <c r="E3" s="23"/>
      <c r="F3" s="23"/>
      <c r="G3" s="23"/>
      <c r="H3" s="23"/>
      <c r="I3" s="23"/>
      <c r="J3" s="24"/>
    </row>
    <row r="4" spans="2:14" ht="18.75" x14ac:dyDescent="0.3">
      <c r="C4" s="13"/>
      <c r="D4" s="13"/>
      <c r="E4" s="13"/>
      <c r="F4" s="13"/>
      <c r="G4" s="13"/>
      <c r="H4" s="13"/>
      <c r="I4" s="13"/>
      <c r="J4" s="13"/>
    </row>
    <row r="5" spans="2:14" ht="18.75" x14ac:dyDescent="0.3">
      <c r="C5" s="13"/>
      <c r="D5" s="25" t="s">
        <v>21</v>
      </c>
      <c r="E5" s="26"/>
      <c r="F5" s="26"/>
      <c r="G5" s="27"/>
      <c r="H5" s="13"/>
      <c r="I5" s="13"/>
      <c r="J5" s="13"/>
    </row>
    <row r="8" spans="2:14" ht="60.75" customHeight="1" x14ac:dyDescent="0.25">
      <c r="B8" s="15" t="s">
        <v>15</v>
      </c>
      <c r="C8" s="16" t="s">
        <v>16</v>
      </c>
      <c r="D8" s="16" t="s">
        <v>24</v>
      </c>
      <c r="E8" s="16" t="s">
        <v>23</v>
      </c>
      <c r="F8" s="16" t="s">
        <v>17</v>
      </c>
      <c r="G8" s="16" t="s">
        <v>18</v>
      </c>
      <c r="H8" s="16" t="s">
        <v>19</v>
      </c>
      <c r="I8" s="16" t="s">
        <v>20</v>
      </c>
      <c r="J8" s="16" t="s">
        <v>25</v>
      </c>
      <c r="M8" s="1" t="s">
        <v>22</v>
      </c>
    </row>
    <row r="9" spans="2:14" ht="40.5" customHeight="1" x14ac:dyDescent="0.25">
      <c r="B9" s="17" t="s">
        <v>26</v>
      </c>
      <c r="C9" s="18">
        <v>44926</v>
      </c>
      <c r="D9" s="18">
        <v>45592</v>
      </c>
      <c r="E9" s="19">
        <v>70000</v>
      </c>
      <c r="F9" s="20">
        <v>9</v>
      </c>
      <c r="G9" s="19">
        <f>+(E9*(1+ip))*(((1+ip)^F9)-1 )/ip</f>
        <v>657844.21245407476</v>
      </c>
      <c r="H9" s="19">
        <f>+G9*5%</f>
        <v>32892.210622703737</v>
      </c>
      <c r="I9" s="19">
        <f>H12*5%</f>
        <v>0</v>
      </c>
      <c r="J9" s="19">
        <f>+G9-H9-I9</f>
        <v>624952.00183137099</v>
      </c>
    </row>
    <row r="11" spans="2:14" x14ac:dyDescent="0.25">
      <c r="E11" s="12"/>
    </row>
    <row r="12" spans="2:14" x14ac:dyDescent="0.25">
      <c r="H12" s="12">
        <v>0</v>
      </c>
      <c r="J12" s="12"/>
      <c r="M12" s="14"/>
    </row>
    <row r="13" spans="2:14" x14ac:dyDescent="0.25">
      <c r="F13" s="12"/>
      <c r="N13" s="14"/>
    </row>
  </sheetData>
  <mergeCells count="2">
    <mergeCell ref="C3:J3"/>
    <mergeCell ref="D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HYPPOTHESE ACTUARIELLE</vt:lpstr>
      <vt:lpstr>CAPITAL DECES EN ACTIVITE</vt:lpstr>
      <vt:lpstr>g</vt:lpstr>
      <vt:lpstr>i</vt:lpstr>
      <vt:lpstr>ip</vt:lpstr>
      <vt:lpstr>pr</vt:lpstr>
      <vt:lpstr>v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2026-07-23T17:04:09Z</dcterms:modified>
</cp:coreProperties>
</file>