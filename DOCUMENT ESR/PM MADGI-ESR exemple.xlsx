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8_{0A78E88A-7A10-4942-A0A9-D16616E2E6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YPPOTHESE ACTUARIELLE" sheetId="4" r:id="rId1"/>
    <sheet name="Synthèse 2021" sheetId="13" r:id="rId2"/>
    <sheet name="Synthèse 2022" sheetId="9" r:id="rId3"/>
    <sheet name="Synthèse 2023" sheetId="14" r:id="rId4"/>
    <sheet name="Synthèse Année 2023 Corrigé" sheetId="16" r:id="rId5"/>
    <sheet name="Synthèse Année 2024" sheetId="18" r:id="rId6"/>
    <sheet name="PM AMAT-CI SDR sur entrée" sheetId="10" r:id="rId7"/>
    <sheet name="PM SDR sur solde" sheetId="17" r:id="rId8"/>
    <sheet name="Au BILAN " sheetId="15" state="hidden" r:id="rId9"/>
    <sheet name="Résutat d'exploitation 2022" sheetId="11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cqui">'[1]DONNEES TECHNIQUES'!$F$25</definedName>
    <definedName name="age_max">'[2]EVALUATION CAPITAL CONST'!$D$6</definedName>
    <definedName name="Age_prêt">'[1]PRET RBM PER'!$F$14</definedName>
    <definedName name="agemax_ascendant">'[3]DONNEES TECH'!$H$13</definedName>
    <definedName name="agemax_enfant">'[3]DONNEES TECH'!$H$11</definedName>
    <definedName name="agesimulprêt">'[3]SIMULATION COLL EMPRUNT'!$J$10</definedName>
    <definedName name="AGRES" localSheetId="7">#REF!</definedName>
    <definedName name="AGRES" localSheetId="9">#REF!</definedName>
    <definedName name="AGRES" localSheetId="1">#REF!</definedName>
    <definedName name="AGRES" localSheetId="2">#REF!</definedName>
    <definedName name="AGRES" localSheetId="3">#REF!</definedName>
    <definedName name="AGRES" localSheetId="4">#REF!</definedName>
    <definedName name="AGRES" localSheetId="5">#REF!</definedName>
    <definedName name="AGRES">#REF!</definedName>
    <definedName name="base" localSheetId="7">#REF!</definedName>
    <definedName name="base" localSheetId="9">#REF!</definedName>
    <definedName name="base" localSheetId="1">#REF!</definedName>
    <definedName name="base" localSheetId="2">#REF!</definedName>
    <definedName name="base" localSheetId="3">#REF!</definedName>
    <definedName name="base" localSheetId="4">#REF!</definedName>
    <definedName name="base" localSheetId="5">#REF!</definedName>
    <definedName name="base">#REF!</definedName>
    <definedName name="capfad1">[3]FICHETARIFICATION!$I$15</definedName>
    <definedName name="capfad2">[3]FICHETARIFICATION!$I$16</definedName>
    <definedName name="capfad3">[3]FICHETARIFICATION!$I$17</definedName>
    <definedName name="capfco1">[3]FICHETARIFICATION!$J$15</definedName>
    <definedName name="capfco2">[3]FICHETARIFICATION!$J$16</definedName>
    <definedName name="capfco3">[3]FICHETARIFICATION!$J$17</definedName>
    <definedName name="capfen1">[3]FICHETARIFICATION!$K$15</definedName>
    <definedName name="capfen2">[3]FICHETARIFICATION!$K$16</definedName>
    <definedName name="capfen3">[3]FICHETARIFICATION!$K$17</definedName>
    <definedName name="coût_avn" localSheetId="7">'[3]DONNEES TECH'!#REF!</definedName>
    <definedName name="coût_avn" localSheetId="9">'[3]DONNEES TECH'!#REF!</definedName>
    <definedName name="coût_avn" localSheetId="1">'[3]DONNEES TECH'!#REF!</definedName>
    <definedName name="coût_avn" localSheetId="2">'[3]DONNEES TECH'!#REF!</definedName>
    <definedName name="coût_avn" localSheetId="3">'[3]DONNEES TECH'!#REF!</definedName>
    <definedName name="coût_avn" localSheetId="4">'[3]DONNEES TECH'!#REF!</definedName>
    <definedName name="coût_avn" localSheetId="5">'[3]DONNEES TECH'!#REF!</definedName>
    <definedName name="coût_avn">'[3]DONNEES TECH'!#REF!</definedName>
    <definedName name="d" localSheetId="7">#REF!</definedName>
    <definedName name="d" localSheetId="9">#REF!</definedName>
    <definedName name="d" localSheetId="1">#REF!</definedName>
    <definedName name="d" localSheetId="2">#REF!</definedName>
    <definedName name="d" localSheetId="3">#REF!</definedName>
    <definedName name="d" localSheetId="4">#REF!</definedName>
    <definedName name="d" localSheetId="5">#REF!</definedName>
    <definedName name="d">#REF!</definedName>
    <definedName name="d_m" localSheetId="7">#REF!</definedName>
    <definedName name="d_m" localSheetId="9">#REF!</definedName>
    <definedName name="d_m" localSheetId="1">#REF!</definedName>
    <definedName name="d_m" localSheetId="2">#REF!</definedName>
    <definedName name="d_m" localSheetId="3">#REF!</definedName>
    <definedName name="d_m" localSheetId="4">#REF!</definedName>
    <definedName name="d_m" localSheetId="5">#REF!</definedName>
    <definedName name="d_m">#REF!</definedName>
    <definedName name="d_prêt" localSheetId="7">#REF!</definedName>
    <definedName name="d_prêt" localSheetId="9">#REF!</definedName>
    <definedName name="d_prêt" localSheetId="1">#REF!</definedName>
    <definedName name="d_prêt" localSheetId="2">#REF!</definedName>
    <definedName name="d_prêt" localSheetId="3">#REF!</definedName>
    <definedName name="d_prêt" localSheetId="4">#REF!</definedName>
    <definedName name="d_prêt" localSheetId="5">#REF!</definedName>
    <definedName name="d_prêt">#REF!</definedName>
    <definedName name="d_td" localSheetId="7">#REF!</definedName>
    <definedName name="d_td" localSheetId="9">#REF!</definedName>
    <definedName name="d_td" localSheetId="1">#REF!</definedName>
    <definedName name="d_td" localSheetId="2">#REF!</definedName>
    <definedName name="d_td" localSheetId="3">#REF!</definedName>
    <definedName name="d_td" localSheetId="4">#REF!</definedName>
    <definedName name="d_td" localSheetId="5">#REF!</definedName>
    <definedName name="d_td">#REF!</definedName>
    <definedName name="Dat_Eva">'[4]PRECOMPTE REVALORISER'!$D$9</definedName>
    <definedName name="Dat_Eval">'[2]EVALUATION CAPITAL CONST'!$D$9</definedName>
    <definedName name="Dat_modif" localSheetId="7">#REF!</definedName>
    <definedName name="Dat_modif" localSheetId="9">#REF!</definedName>
    <definedName name="Dat_modif" localSheetId="1">#REF!</definedName>
    <definedName name="Dat_modif" localSheetId="2">#REF!</definedName>
    <definedName name="Dat_modif" localSheetId="3">#REF!</definedName>
    <definedName name="Dat_modif" localSheetId="4">#REF!</definedName>
    <definedName name="Dat_modif" localSheetId="5">#REF!</definedName>
    <definedName name="Dat_modif">#REF!</definedName>
    <definedName name="date_premier_paiement" localSheetId="7">'[2]SIMU CAPITAL ACQUIT'!#REF!</definedName>
    <definedName name="date_premier_paiement" localSheetId="9">'[2]SIMU CAPITAL ACQUIT'!#REF!</definedName>
    <definedName name="date_premier_paiement" localSheetId="1">'[2]SIMU CAPITAL ACQUIT'!#REF!</definedName>
    <definedName name="date_premier_paiement" localSheetId="2">'[2]SIMU CAPITAL ACQUIT'!#REF!</definedName>
    <definedName name="date_premier_paiement" localSheetId="3">'[2]SIMU CAPITAL ACQUIT'!#REF!</definedName>
    <definedName name="date_premier_paiement" localSheetId="4">'[2]SIMU CAPITAL ACQUIT'!#REF!</definedName>
    <definedName name="date_premier_paiement" localSheetId="5">'[2]SIMU CAPITAL ACQUIT'!#REF!</definedName>
    <definedName name="date_premier_paiement">'[2]SIMU CAPITAL ACQUIT'!#REF!</definedName>
    <definedName name="dif">'[3]TABLE EVL EMPRUNT'!$L$2</definedName>
    <definedName name="dif_prêt">'[1]PRET RBM PER'!$F$21</definedName>
    <definedName name="difschéma_1">'[3]SIMULATION COLL EMPRUNT'!$D$16</definedName>
    <definedName name="difschéma_10">'[3]SIMULATION COLL EMPRUNT'!$J$20</definedName>
    <definedName name="difschéma_2">'[3]SIMULATION COLL EMPRUNT'!$D$17</definedName>
    <definedName name="difschéma_3">'[3]SIMULATION COLL EMPRUNT'!$D$18</definedName>
    <definedName name="difschéma_4">'[3]SIMULATION COLL EMPRUNT'!$D$19</definedName>
    <definedName name="difschéma_5">'[3]SIMULATION COLL EMPRUNT'!$D$20</definedName>
    <definedName name="difschéma_6">'[3]SIMULATION COLL EMPRUNT'!$J$16</definedName>
    <definedName name="difschéma_7">'[3]SIMULATION COLL EMPRUNT'!$J$17</definedName>
    <definedName name="difschéma_8">'[3]SIMULATION COLL EMPRUNT'!$J$18</definedName>
    <definedName name="difschéma_9">'[3]SIMULATION COLL EMPRUNT'!$J$19</definedName>
    <definedName name="durrembschéma_1">'[3]SIMULATION COLL EMPRUNT'!$E$16</definedName>
    <definedName name="durrembschéma_10">'[3]SIMULATION COLL EMPRUNT'!$K$20</definedName>
    <definedName name="durrembschéma_2">'[3]SIMULATION COLL EMPRUNT'!$E$17</definedName>
    <definedName name="durrembschéma_3">'[3]SIMULATION COLL EMPRUNT'!$E$18</definedName>
    <definedName name="durrembschéma_4">'[3]SIMULATION COLL EMPRUNT'!$E$19</definedName>
    <definedName name="durrembschéma_5">'[3]SIMULATION COLL EMPRUNT'!$E$20</definedName>
    <definedName name="durrembschéma_6">'[3]SIMULATION COLL EMPRUNT'!$K$16</definedName>
    <definedName name="durrembschéma_7">'[3]SIMULATION COLL EMPRUNT'!$K$17</definedName>
    <definedName name="durrembschéma_8">'[3]SIMULATION COLL EMPRUNT'!$K$18</definedName>
    <definedName name="durrembschéma_9">'[3]SIMULATION COLL EMPRUNT'!$K$19</definedName>
    <definedName name="ecart_ascendant">'[3]DONNEES TECH'!$H$12</definedName>
    <definedName name="ecart_conjoint">'[3]DONNEES TECH'!$H$9</definedName>
    <definedName name="Ecart_enfant">'[3]DONNEES TECH'!$H$10</definedName>
    <definedName name="effet" localSheetId="7">'[2]SIMU CAPITAL ACQUIT'!#REF!</definedName>
    <definedName name="effet" localSheetId="9">'[2]SIMU CAPITAL ACQUIT'!#REF!</definedName>
    <definedName name="effet" localSheetId="1">'[2]SIMU CAPITAL ACQUIT'!#REF!</definedName>
    <definedName name="effet" localSheetId="2">'[2]SIMU CAPITAL ACQUIT'!#REF!</definedName>
    <definedName name="effet" localSheetId="3">'[2]SIMU CAPITAL ACQUIT'!#REF!</definedName>
    <definedName name="effet" localSheetId="4">'[2]SIMU CAPITAL ACQUIT'!#REF!</definedName>
    <definedName name="effet" localSheetId="5">'[2]SIMU CAPITAL ACQUIT'!#REF!</definedName>
    <definedName name="effet">'[2]SIMU CAPITAL ACQUIT'!#REF!</definedName>
    <definedName name="enc">'[1]DONNEES TECHNIQUES'!$F$27</definedName>
    <definedName name="g">'HYPPOTHESE ACTUARIELLE'!$C$7</definedName>
    <definedName name="gest">'[3]DONNEES TECH'!$E$17</definedName>
    <definedName name="i" localSheetId="9">#REF!</definedName>
    <definedName name="i" localSheetId="1">#REF!</definedName>
    <definedName name="i" localSheetId="2">#REF!</definedName>
    <definedName name="i" localSheetId="3">#REF!</definedName>
    <definedName name="i" localSheetId="4">#REF!</definedName>
    <definedName name="i" localSheetId="5">#REF!</definedName>
    <definedName name="i">'HYPPOTHESE ACTUARIELLE'!$C$3</definedName>
    <definedName name="i_m" localSheetId="7">#REF!</definedName>
    <definedName name="i_m" localSheetId="9">#REF!</definedName>
    <definedName name="i_m" localSheetId="1">#REF!</definedName>
    <definedName name="i_m" localSheetId="2">#REF!</definedName>
    <definedName name="i_m" localSheetId="3">#REF!</definedName>
    <definedName name="i_m" localSheetId="4">#REF!</definedName>
    <definedName name="i_m" localSheetId="5">#REF!</definedName>
    <definedName name="i_m">#REF!</definedName>
    <definedName name="initial">'[3]TABLE EVL EMPRUNT'!$A$2</definedName>
    <definedName name="int">'[3]TABLE EVL EMPRUNT'!$K$2</definedName>
    <definedName name="int_equi">'[3]TABLE EVL EMPRUNT'!$C$2</definedName>
    <definedName name="intrembschéma_1">'[3]SIMULATION COLL EMPRUNT'!$C$16</definedName>
    <definedName name="intrembschéma_10">'[3]SIMULATION COLL EMPRUNT'!$I$20</definedName>
    <definedName name="intrembschéma_2">'[3]SIMULATION COLL EMPRUNT'!$C$17</definedName>
    <definedName name="intrembschéma_3">'[3]SIMULATION COLL EMPRUNT'!$C$18</definedName>
    <definedName name="intrembschéma_4">'[3]SIMULATION COLL EMPRUNT'!$C$19</definedName>
    <definedName name="intrembschéma_5">'[3]SIMULATION COLL EMPRUNT'!$C$20</definedName>
    <definedName name="intrembschéma_6">'[3]SIMULATION COLL EMPRUNT'!$I$16</definedName>
    <definedName name="intrembschéma_7">'[3]SIMULATION COLL EMPRUNT'!$I$17</definedName>
    <definedName name="intrembschéma_8">'[3]SIMULATION COLL EMPRUNT'!$I$18</definedName>
    <definedName name="intrembschéma_9">'[3]SIMULATION COLL EMPRUNT'!$I$19</definedName>
    <definedName name="invpérsimulprêt_remb">'[3]SIMULATION COLL EMPRUNT'!$A$2</definedName>
    <definedName name="invpérsimulprime_prêt">'[3]SIMULATION COLL EMPRUNT'!$G$2</definedName>
    <definedName name="ip" localSheetId="9">'[5]HYPPOTHESE ACTUARIELLE'!$C$4</definedName>
    <definedName name="ip" localSheetId="1">'[5]HYPPOTHESE ACTUARIELLE'!$C$4</definedName>
    <definedName name="ip" localSheetId="2">'[5]HYPPOTHESE ACTUARIELLE'!$C$4</definedName>
    <definedName name="ip" localSheetId="3">'[5]HYPPOTHESE ACTUARIELLE'!$C$4</definedName>
    <definedName name="ip" localSheetId="4">'[5]HYPPOTHESE ACTUARIELLE'!$C$4</definedName>
    <definedName name="ip" localSheetId="5">'[5]HYPPOTHESE ACTUARIELLE'!$C$4</definedName>
    <definedName name="ip">'HYPPOTHESE ACTUARIELLE'!$C$4</definedName>
    <definedName name="m" localSheetId="7">#REF!</definedName>
    <definedName name="m" localSheetId="9">#REF!</definedName>
    <definedName name="m" localSheetId="1">#REF!</definedName>
    <definedName name="m" localSheetId="2">#REF!</definedName>
    <definedName name="m" localSheetId="3">#REF!</definedName>
    <definedName name="m" localSheetId="4">#REF!</definedName>
    <definedName name="m" localSheetId="5">#REF!</definedName>
    <definedName name="m">#REF!</definedName>
    <definedName name="ok">[2]Feuil2!$D$6</definedName>
    <definedName name="per_prime">'[1]PRET RBM PER'!$F$23</definedName>
    <definedName name="pér_prime">[3]FICHETARIFICATION!$M$10</definedName>
    <definedName name="per_remb">'[3]TABLE EVL EMPRUNT'!$J$2</definedName>
    <definedName name="per_remb_prêt">'[1]PRET RBM PER'!$F$18</definedName>
    <definedName name="pérsimul_prime">'[3]SIMULATION PREVOYCE'!$L$10</definedName>
    <definedName name="pérsimulprêt_remb">'[3]SIMULATION COLL EMPRUNT'!$J$11</definedName>
    <definedName name="pérsimulprime_prêt">'[3]SIMULATION COLL EMPRUNT'!$J$12</definedName>
    <definedName name="pr">'HYPPOTHESE ACTUARIELLE'!$C$8</definedName>
    <definedName name="primffcadr">[3]FICHETARIFICATION!$I$24</definedName>
    <definedName name="rho" localSheetId="7">#REF!</definedName>
    <definedName name="rho" localSheetId="9">#REF!</definedName>
    <definedName name="rho" localSheetId="1">#REF!</definedName>
    <definedName name="rho" localSheetId="2">#REF!</definedName>
    <definedName name="rho" localSheetId="3">#REF!</definedName>
    <definedName name="rho" localSheetId="4">#REF!</definedName>
    <definedName name="rho" localSheetId="5">#REF!</definedName>
    <definedName name="rho">#REF!</definedName>
    <definedName name="table" localSheetId="7">#REF!</definedName>
    <definedName name="table" localSheetId="9">#REF!</definedName>
    <definedName name="table" localSheetId="1">#REF!</definedName>
    <definedName name="table" localSheetId="2">#REF!</definedName>
    <definedName name="table" localSheetId="3">#REF!</definedName>
    <definedName name="table" localSheetId="4">#REF!</definedName>
    <definedName name="table" localSheetId="5">#REF!</definedName>
    <definedName name="table">#REF!</definedName>
    <definedName name="table_garantie">[3]FICHETARIFICATION!$B$15:$O$18</definedName>
    <definedName name="TABLEBAK">'[6]Table_Correspondance '!$A$1:$L$987</definedName>
    <definedName name="tableprime_fun">'[3]TABLE EVAL BORD'!$I$30:$P$33</definedName>
    <definedName name="tableprimesimul_fun">'[3]TABLE EVAL SIMUL'!$H$30:$S$33</definedName>
    <definedName name="tablesimul_garantie">'[3]SIMULATION PREVOYCE'!$B$13:$M$18</definedName>
    <definedName name="taux_charg">'[3]DONNEES TECH'!$H$7</definedName>
    <definedName name="taux_interêt">'[2]EVALUATION CAPITAL CONST'!$D$3</definedName>
    <definedName name="taux_tech">'[3]DONNEES TECH'!$D$5</definedName>
    <definedName name="tauxaccident">'[3]DONNEES TECH'!$H$16</definedName>
    <definedName name="tauxacqui_décès">'[3]DONNEES TECH'!$C$18</definedName>
    <definedName name="tauxacqui_fun">'[3]DONNEES TECH'!$C$19</definedName>
    <definedName name="tauxbase_prêt">'[3]TABLE EVL EMPRUNT'!$AP$23</definedName>
    <definedName name="tauxcap_décès">'[3]DONNEES TECH'!$E$18</definedName>
    <definedName name="tauxcap_fun">'[3]DONNEES TECH'!$E$19</definedName>
    <definedName name="tauxgest_décès">'[3]DONNEES TECH'!$D$18</definedName>
    <definedName name="tauxgest_fun">'[3]DONNEES TECH'!$D$19</definedName>
    <definedName name="tauxipt">'[3]DONNEES TECH'!$H$18</definedName>
    <definedName name="tauxpér_prêt">'[3]TABLE EVL EMPRUNT'!$AQ$23</definedName>
    <definedName name="tauxpérsimulprime_prêt">'[3]SIMULATION COLL EMPRUNT'!$I$2</definedName>
    <definedName name="tauxprimepérsal_décès">'[3]TABLE EVAL BORD'!$M$17</definedName>
    <definedName name="tauxsimulpér_décès">'[3]TABLE EVAL SIMUL'!$L$17</definedName>
    <definedName name="tauxsimulpér_prime">'[3]SIMULATION PREVOYCE'!$B$2</definedName>
    <definedName name="tauxtarifpér_prime">[3]FICHETARIFICATION!$B$2</definedName>
    <definedName name="tauxunique_prêt">'[3]TABLE EVL EMPRUNT'!$AR$23</definedName>
    <definedName name="tep" localSheetId="7">#REF!</definedName>
    <definedName name="tep" localSheetId="9">'[5]PM 2022'!#REF!</definedName>
    <definedName name="tep" localSheetId="1">'[5]PM 2022'!#REF!</definedName>
    <definedName name="tep" localSheetId="2">'[5]PM 2022'!#REF!</definedName>
    <definedName name="tep" localSheetId="3">'[5]PM 2022'!#REF!</definedName>
    <definedName name="tep" localSheetId="4">'[5]PM 2022'!#REF!</definedName>
    <definedName name="tep" localSheetId="5">'[5]PM 2022'!#REF!</definedName>
    <definedName name="tep">#REF!</definedName>
    <definedName name="tps" localSheetId="7">#REF!</definedName>
    <definedName name="tps" localSheetId="9">#REF!</definedName>
    <definedName name="tps" localSheetId="1">#REF!</definedName>
    <definedName name="tps" localSheetId="2">#REF!</definedName>
    <definedName name="tps" localSheetId="3">#REF!</definedName>
    <definedName name="tps" localSheetId="4">#REF!</definedName>
    <definedName name="tps" localSheetId="5">#REF!</definedName>
    <definedName name="tps">#REF!</definedName>
    <definedName name="trait_dif" localSheetId="7">#REF!</definedName>
    <definedName name="trait_dif" localSheetId="9">#REF!</definedName>
    <definedName name="trait_dif" localSheetId="1">#REF!</definedName>
    <definedName name="trait_dif" localSheetId="2">#REF!</definedName>
    <definedName name="trait_dif" localSheetId="3">#REF!</definedName>
    <definedName name="trait_dif" localSheetId="4">#REF!</definedName>
    <definedName name="trait_dif" localSheetId="5">#REF!</definedName>
    <definedName name="trait_dif">#REF!</definedName>
    <definedName name="tx_gestion">'[2]EVALUATION CAPITAL CONST'!$D$7</definedName>
    <definedName name="tx_int_périod">'[2]EVALUATION CAPITAL CONST'!$D$4</definedName>
    <definedName name="v" localSheetId="9">#REF!</definedName>
    <definedName name="v" localSheetId="1">#REF!</definedName>
    <definedName name="v" localSheetId="2">#REF!</definedName>
    <definedName name="v" localSheetId="3">#REF!</definedName>
    <definedName name="v" localSheetId="4">#REF!</definedName>
    <definedName name="v" localSheetId="5">#REF!</definedName>
    <definedName name="v">'HYPPOTHESE ACTUARIELLE'!$C$5</definedName>
    <definedName name="viel">'[3]DONNEES TECH'!$H$6</definedName>
    <definedName name="w">'HYPPOTHESE ACTUARIELLE'!$C$6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8" l="1"/>
  <c r="N9" i="18"/>
  <c r="H9" i="18" l="1"/>
  <c r="F9" i="18"/>
  <c r="F29" i="18" l="1"/>
  <c r="L28" i="18"/>
  <c r="L29" i="18" s="1"/>
  <c r="J27" i="18"/>
  <c r="C23" i="18"/>
  <c r="J22" i="18"/>
  <c r="I22" i="18"/>
  <c r="G22" i="18"/>
  <c r="E22" i="18"/>
  <c r="C22" i="18"/>
  <c r="L21" i="18"/>
  <c r="L16" i="18"/>
  <c r="J15" i="18"/>
  <c r="I15" i="18"/>
  <c r="H15" i="18"/>
  <c r="H22" i="18" s="1"/>
  <c r="F15" i="18"/>
  <c r="F22" i="18" s="1"/>
  <c r="D15" i="18"/>
  <c r="D22" i="18" s="1"/>
  <c r="K11" i="18"/>
  <c r="J11" i="18"/>
  <c r="I11" i="18"/>
  <c r="H11" i="18"/>
  <c r="G11" i="18"/>
  <c r="G23" i="18" s="1"/>
  <c r="F11" i="18"/>
  <c r="E11" i="18"/>
  <c r="C11" i="18"/>
  <c r="L9" i="18"/>
  <c r="D8" i="18"/>
  <c r="D11" i="18" s="1"/>
  <c r="F23" i="18" l="1"/>
  <c r="C38" i="17" s="1"/>
  <c r="C41" i="10"/>
  <c r="C40" i="10"/>
  <c r="C43" i="10"/>
  <c r="C42" i="10"/>
  <c r="J23" i="18"/>
  <c r="C40" i="17" s="1"/>
  <c r="M9" i="18"/>
  <c r="I23" i="18"/>
  <c r="H23" i="18"/>
  <c r="C39" i="17" s="1"/>
  <c r="E23" i="18"/>
  <c r="C44" i="10"/>
  <c r="H28" i="18"/>
  <c r="D23" i="18"/>
  <c r="C37" i="17" s="1"/>
  <c r="J28" i="18"/>
  <c r="L15" i="18"/>
  <c r="L22" i="18" s="1"/>
  <c r="L8" i="18"/>
  <c r="L11" i="18" s="1"/>
  <c r="C41" i="17" l="1"/>
  <c r="L23" i="18"/>
  <c r="M11" i="18"/>
  <c r="H29" i="18"/>
  <c r="L27" i="18"/>
  <c r="J29" i="18"/>
  <c r="H25" i="17" l="1"/>
  <c r="F29" i="16"/>
  <c r="L28" i="16"/>
  <c r="L29" i="16" s="1"/>
  <c r="J27" i="16"/>
  <c r="K23" i="16"/>
  <c r="K22" i="16"/>
  <c r="I22" i="16"/>
  <c r="G22" i="16"/>
  <c r="E22" i="16"/>
  <c r="C22" i="16"/>
  <c r="D21" i="16"/>
  <c r="L20" i="16"/>
  <c r="L19" i="16"/>
  <c r="L18" i="16"/>
  <c r="L17" i="16"/>
  <c r="J16" i="16"/>
  <c r="H16" i="16"/>
  <c r="H22" i="16" s="1"/>
  <c r="F16" i="16"/>
  <c r="F22" i="16" s="1"/>
  <c r="L15" i="16"/>
  <c r="D15" i="16"/>
  <c r="D22" i="16" s="1"/>
  <c r="L14" i="16"/>
  <c r="L13" i="16"/>
  <c r="K11" i="16"/>
  <c r="H11" i="16"/>
  <c r="C30" i="10" s="1"/>
  <c r="G11" i="16"/>
  <c r="G23" i="16" s="1"/>
  <c r="E11" i="16"/>
  <c r="E23" i="16" s="1"/>
  <c r="C11" i="16"/>
  <c r="C23" i="16" s="1"/>
  <c r="L10" i="16"/>
  <c r="J9" i="16"/>
  <c r="D9" i="16"/>
  <c r="D11" i="16" s="1"/>
  <c r="J8" i="16"/>
  <c r="J11" i="16" s="1"/>
  <c r="I8" i="16"/>
  <c r="I11" i="16" s="1"/>
  <c r="I23" i="16" s="1"/>
  <c r="F8" i="16"/>
  <c r="F11" i="16" s="1"/>
  <c r="F23" i="16" l="1"/>
  <c r="C27" i="17" s="1"/>
  <c r="C28" i="10"/>
  <c r="L16" i="16"/>
  <c r="N16" i="16" s="1"/>
  <c r="J22" i="16"/>
  <c r="J23" i="16" s="1"/>
  <c r="C29" i="17" s="1"/>
  <c r="H29" i="17" s="1"/>
  <c r="C29" i="10"/>
  <c r="H23" i="16"/>
  <c r="C28" i="17" s="1"/>
  <c r="C31" i="10"/>
  <c r="J28" i="16"/>
  <c r="D23" i="16"/>
  <c r="C26" i="17" s="1"/>
  <c r="H28" i="16"/>
  <c r="L8" i="16"/>
  <c r="L21" i="16"/>
  <c r="L9" i="16"/>
  <c r="L22" i="16" l="1"/>
  <c r="N22" i="16" s="1"/>
  <c r="C30" i="17"/>
  <c r="L11" i="16"/>
  <c r="J29" i="16"/>
  <c r="H29" i="16"/>
  <c r="L23" i="16" l="1"/>
  <c r="L26" i="16"/>
  <c r="F29" i="14"/>
  <c r="K23" i="14"/>
  <c r="G23" i="14"/>
  <c r="K22" i="14"/>
  <c r="I22" i="14"/>
  <c r="G22" i="14"/>
  <c r="E22" i="14"/>
  <c r="C22" i="14"/>
  <c r="D21" i="14"/>
  <c r="L21" i="14" s="1"/>
  <c r="L20" i="14"/>
  <c r="L19" i="14"/>
  <c r="L18" i="14"/>
  <c r="L17" i="14"/>
  <c r="J16" i="14"/>
  <c r="J22" i="14" s="1"/>
  <c r="H16" i="14"/>
  <c r="H22" i="14" s="1"/>
  <c r="H23" i="14" s="1"/>
  <c r="F16" i="14"/>
  <c r="L16" i="14" s="1"/>
  <c r="D15" i="14"/>
  <c r="D22" i="14" s="1"/>
  <c r="L14" i="14"/>
  <c r="L13" i="14"/>
  <c r="K11" i="14"/>
  <c r="H11" i="14"/>
  <c r="G11" i="14"/>
  <c r="E11" i="14"/>
  <c r="E23" i="14" s="1"/>
  <c r="D11" i="14"/>
  <c r="C11" i="14"/>
  <c r="L10" i="14"/>
  <c r="J9" i="14"/>
  <c r="D9" i="14"/>
  <c r="L9" i="14" s="1"/>
  <c r="J8" i="14"/>
  <c r="J11" i="14" s="1"/>
  <c r="J23" i="14" s="1"/>
  <c r="I8" i="14"/>
  <c r="I11" i="14" s="1"/>
  <c r="I23" i="14" s="1"/>
  <c r="F8" i="14"/>
  <c r="L8" i="14" s="1"/>
  <c r="L11" i="14" s="1"/>
  <c r="L15" i="14" l="1"/>
  <c r="F11" i="14"/>
  <c r="D23" i="14"/>
  <c r="C23" i="14"/>
  <c r="F22" i="14"/>
  <c r="F23" i="14" s="1"/>
  <c r="J29" i="14" s="1"/>
  <c r="H28" i="14"/>
  <c r="J28" i="14"/>
  <c r="L22" i="14" l="1"/>
  <c r="L23" i="14" s="1"/>
  <c r="H29" i="14"/>
  <c r="H31" i="10" l="1"/>
  <c r="H27" i="10"/>
  <c r="C32" i="10" l="1"/>
  <c r="C8" i="11"/>
  <c r="C9" i="11" s="1"/>
  <c r="I22" i="13"/>
  <c r="F22" i="13"/>
  <c r="C7" i="17" s="1"/>
  <c r="E22" i="13"/>
  <c r="D21" i="13"/>
  <c r="L21" i="13" s="1"/>
  <c r="C21" i="13"/>
  <c r="L20" i="13"/>
  <c r="L19" i="13"/>
  <c r="L18" i="13"/>
  <c r="L17" i="13"/>
  <c r="L16" i="13"/>
  <c r="L15" i="13"/>
  <c r="L14" i="13"/>
  <c r="L13" i="13"/>
  <c r="I11" i="13"/>
  <c r="F11" i="13"/>
  <c r="E11" i="13"/>
  <c r="D11" i="13"/>
  <c r="C11" i="13"/>
  <c r="L10" i="13"/>
  <c r="G10" i="13"/>
  <c r="G11" i="13" s="1"/>
  <c r="G22" i="13" s="1"/>
  <c r="J9" i="13"/>
  <c r="J11" i="13" s="1"/>
  <c r="H9" i="13"/>
  <c r="L8" i="13"/>
  <c r="J22" i="13" l="1"/>
  <c r="C9" i="17" s="1"/>
  <c r="H9" i="17" s="1"/>
  <c r="C10" i="10"/>
  <c r="H10" i="10" s="1"/>
  <c r="C8" i="10"/>
  <c r="L9" i="13"/>
  <c r="C22" i="13"/>
  <c r="D22" i="13"/>
  <c r="H11" i="13"/>
  <c r="C7" i="10"/>
  <c r="B8" i="11"/>
  <c r="L11" i="13"/>
  <c r="L22" i="13" s="1"/>
  <c r="L25" i="13" s="1"/>
  <c r="D25" i="13" l="1"/>
  <c r="F25" i="13" s="1"/>
  <c r="C6" i="17"/>
  <c r="H22" i="13"/>
  <c r="C9" i="10"/>
  <c r="F10" i="11"/>
  <c r="E9" i="11" s="1"/>
  <c r="B9" i="11"/>
  <c r="H25" i="13" l="1"/>
  <c r="J25" i="13" s="1"/>
  <c r="C8" i="17"/>
  <c r="C10" i="17" s="1"/>
  <c r="C11" i="10"/>
  <c r="B7" i="11"/>
  <c r="K21" i="9"/>
  <c r="I21" i="9"/>
  <c r="G21" i="9"/>
  <c r="E21" i="9"/>
  <c r="D21" i="9"/>
  <c r="C21" i="9"/>
  <c r="J20" i="9"/>
  <c r="H20" i="9"/>
  <c r="L19" i="9"/>
  <c r="L18" i="9"/>
  <c r="L17" i="9"/>
  <c r="L16" i="9"/>
  <c r="J15" i="9"/>
  <c r="H15" i="9"/>
  <c r="F15" i="9"/>
  <c r="L15" i="9" s="1"/>
  <c r="F14" i="9"/>
  <c r="L14" i="9" s="1"/>
  <c r="L13" i="9"/>
  <c r="J11" i="9"/>
  <c r="I11" i="9"/>
  <c r="H11" i="9"/>
  <c r="G11" i="9"/>
  <c r="G22" i="9" s="1"/>
  <c r="F11" i="9"/>
  <c r="E11" i="9"/>
  <c r="E22" i="9" s="1"/>
  <c r="D11" i="9"/>
  <c r="C11" i="9"/>
  <c r="C22" i="9" s="1"/>
  <c r="L10" i="9"/>
  <c r="L9" i="9"/>
  <c r="L8" i="9"/>
  <c r="C17" i="10" l="1"/>
  <c r="C16" i="10"/>
  <c r="H21" i="9"/>
  <c r="H22" i="9" s="1"/>
  <c r="C17" i="17" s="1"/>
  <c r="D22" i="9"/>
  <c r="C15" i="17" s="1"/>
  <c r="C18" i="10"/>
  <c r="I22" i="9"/>
  <c r="J21" i="9"/>
  <c r="J22" i="9"/>
  <c r="C18" i="17" s="1"/>
  <c r="H18" i="17" s="1"/>
  <c r="C19" i="10"/>
  <c r="H19" i="10" s="1"/>
  <c r="F7" i="11"/>
  <c r="L20" i="9"/>
  <c r="L11" i="9"/>
  <c r="F21" i="9"/>
  <c r="C20" i="10" l="1"/>
  <c r="F8" i="11"/>
  <c r="E8" i="11" s="1"/>
  <c r="E7" i="11"/>
  <c r="F22" i="9"/>
  <c r="C16" i="17" s="1"/>
  <c r="C19" i="17" s="1"/>
  <c r="L21" i="9"/>
  <c r="C9" i="4"/>
  <c r="C5" i="4"/>
  <c r="C4" i="4"/>
  <c r="C3" i="4"/>
  <c r="L22" i="9" l="1"/>
  <c r="J19" i="17"/>
  <c r="J20" i="10"/>
  <c r="F32" i="10"/>
  <c r="E10" i="10"/>
  <c r="E9" i="17"/>
  <c r="E18" i="17" s="1"/>
  <c r="H6" i="17"/>
  <c r="H28" i="17"/>
  <c r="H17" i="17"/>
  <c r="D6" i="17"/>
  <c r="D7" i="17" s="1"/>
  <c r="D8" i="17" s="1"/>
  <c r="D9" i="17" s="1"/>
  <c r="D15" i="17" s="1"/>
  <c r="D16" i="17" s="1"/>
  <c r="D17" i="17" s="1"/>
  <c r="D18" i="17" s="1"/>
  <c r="H7" i="17"/>
  <c r="H26" i="17"/>
  <c r="H8" i="17"/>
  <c r="H15" i="17"/>
  <c r="H16" i="17"/>
  <c r="H27" i="17"/>
  <c r="D7" i="10"/>
  <c r="D8" i="10" s="1"/>
  <c r="D9" i="10" s="1"/>
  <c r="D10" i="10" s="1"/>
  <c r="H30" i="10"/>
  <c r="H29" i="10"/>
  <c r="H28" i="10"/>
  <c r="H8" i="10"/>
  <c r="H7" i="10"/>
  <c r="H9" i="10"/>
  <c r="H17" i="10"/>
  <c r="H18" i="10"/>
  <c r="H16" i="10"/>
  <c r="F12" i="10" l="1"/>
  <c r="E19" i="10"/>
  <c r="L4" i="15"/>
  <c r="L9" i="15" s="1"/>
  <c r="F10" i="10"/>
  <c r="E21" i="17"/>
  <c r="E29" i="17"/>
  <c r="D21" i="17"/>
  <c r="D26" i="17"/>
  <c r="D27" i="17" s="1"/>
  <c r="D28" i="17" s="1"/>
  <c r="D29" i="17" s="1"/>
  <c r="H30" i="17"/>
  <c r="H10" i="17"/>
  <c r="D16" i="10"/>
  <c r="D17" i="10" s="1"/>
  <c r="D18" i="10" s="1"/>
  <c r="D19" i="10" s="1"/>
  <c r="H11" i="10"/>
  <c r="H15" i="10" s="1"/>
  <c r="H20" i="10" s="1"/>
  <c r="H32" i="10"/>
  <c r="H34" i="10" s="1"/>
  <c r="E22" i="10" l="1"/>
  <c r="E31" i="10"/>
  <c r="E32" i="17"/>
  <c r="E40" i="17"/>
  <c r="E43" i="17" s="1"/>
  <c r="D32" i="17"/>
  <c r="D37" i="17"/>
  <c r="D38" i="17" s="1"/>
  <c r="D39" i="17" s="1"/>
  <c r="D40" i="17" s="1"/>
  <c r="D43" i="17" s="1"/>
  <c r="H14" i="17"/>
  <c r="H19" i="17" s="1"/>
  <c r="I10" i="17"/>
  <c r="H32" i="17"/>
  <c r="I30" i="17"/>
  <c r="D22" i="10"/>
  <c r="D28" i="10"/>
  <c r="D29" i="10" s="1"/>
  <c r="D30" i="10" s="1"/>
  <c r="D31" i="10" s="1"/>
  <c r="I20" i="10"/>
  <c r="I11" i="10"/>
  <c r="I21" i="10"/>
  <c r="I24" i="10" s="1"/>
  <c r="H22" i="10"/>
  <c r="E34" i="10" l="1"/>
  <c r="E43" i="10"/>
  <c r="E46" i="10" s="1"/>
  <c r="E47" i="10" s="1"/>
  <c r="E48" i="10" s="1"/>
  <c r="I32" i="17"/>
  <c r="E23" i="10"/>
  <c r="E24" i="10" s="1"/>
  <c r="K4" i="15"/>
  <c r="K9" i="15" s="1"/>
  <c r="I32" i="10"/>
  <c r="D40" i="10"/>
  <c r="D41" i="10" s="1"/>
  <c r="D42" i="10" s="1"/>
  <c r="D43" i="10" s="1"/>
  <c r="D46" i="10" s="1"/>
  <c r="I22" i="10"/>
  <c r="I19" i="17"/>
  <c r="I20" i="17"/>
  <c r="I22" i="17" s="1"/>
  <c r="H21" i="17"/>
  <c r="I21" i="17" s="1"/>
  <c r="D34" i="10"/>
  <c r="I34" i="10" s="1"/>
  <c r="E35" i="10" l="1"/>
  <c r="E36" i="10" s="1"/>
  <c r="J4" i="15"/>
  <c r="E50" i="10" l="1"/>
  <c r="E52" i="10" s="1"/>
  <c r="L52" i="10" s="1"/>
  <c r="F36" i="10"/>
  <c r="F37" i="10" s="1"/>
  <c r="F38" i="10" s="1"/>
  <c r="I4" i="15"/>
  <c r="J9" i="15"/>
  <c r="I9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J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Solde retraité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C1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r3= 3 retraité pris en charge</t>
        </r>
      </text>
    </comment>
  </commentList>
</comments>
</file>

<file path=xl/sharedStrings.xml><?xml version="1.0" encoding="utf-8"?>
<sst xmlns="http://schemas.openxmlformats.org/spreadsheetml/2006/main" count="299" uniqueCount="100">
  <si>
    <t>Hypothèses actuarielles</t>
  </si>
  <si>
    <t>Taux d'intérêt</t>
  </si>
  <si>
    <t>i</t>
  </si>
  <si>
    <t>Taux d'intérêt périodique</t>
  </si>
  <si>
    <t>ip</t>
  </si>
  <si>
    <t>Facteur d'actualisation</t>
  </si>
  <si>
    <t>v</t>
  </si>
  <si>
    <t>Age maximum</t>
  </si>
  <si>
    <t>w</t>
  </si>
  <si>
    <t>Frais de gestion</t>
  </si>
  <si>
    <t>g</t>
  </si>
  <si>
    <t>Pénalité de rachat</t>
  </si>
  <si>
    <t>pr</t>
  </si>
  <si>
    <t>Date d'évaluation</t>
  </si>
  <si>
    <t>Dat_Eval</t>
  </si>
  <si>
    <t>TOTAL</t>
  </si>
  <si>
    <t>MOUVEMENT AFFAIRES DIRECTES "SANTE DU RETRAITE" (ETAT CIMA C-20)</t>
  </si>
  <si>
    <t xml:space="preserve">MOUVEMENT AFFAIRES DIRECTES "AMAT-CI SANTE DU RETRAITE" </t>
  </si>
  <si>
    <t>EN COURS A L'OUVERTURE DE L'EXERCICE (2021)</t>
  </si>
  <si>
    <t>Nbre</t>
  </si>
  <si>
    <t>Montant</t>
  </si>
  <si>
    <t>ENTRÉES</t>
  </si>
  <si>
    <t>Souscriptions (Precompte)</t>
  </si>
  <si>
    <t>Remplacements ou Transformations (Avance, Cash, Virement)</t>
  </si>
  <si>
    <t>Revalorisations</t>
  </si>
  <si>
    <t>TOTAL DES ENTREES</t>
  </si>
  <si>
    <t>SORTIES</t>
  </si>
  <si>
    <t>Sans effet</t>
  </si>
  <si>
    <t>Remplacements ou Transformations</t>
  </si>
  <si>
    <t>Échéances</t>
  </si>
  <si>
    <t>r3</t>
  </si>
  <si>
    <t>r5</t>
  </si>
  <si>
    <t>r7</t>
  </si>
  <si>
    <t>r11</t>
  </si>
  <si>
    <t>Sinistres</t>
  </si>
  <si>
    <t>Extinctions</t>
  </si>
  <si>
    <t>Rachats</t>
  </si>
  <si>
    <t>Réductions</t>
  </si>
  <si>
    <t>Résiliations</t>
  </si>
  <si>
    <t>TOTAL DES SORTIES</t>
  </si>
  <si>
    <t>TOTAL (ENTREES - SORTIES)</t>
  </si>
  <si>
    <t>EN COURS A LA CLOTURE DE L'EXERCICE (2021)</t>
  </si>
  <si>
    <t>Total cotisation trimestre (1)</t>
  </si>
  <si>
    <t>Total cotisation trimestre (2)</t>
  </si>
  <si>
    <t>Total cotisation trimestre (3)</t>
  </si>
  <si>
    <t>Total cotisation trimestre (4)</t>
  </si>
  <si>
    <t xml:space="preserve">RESULTAT D'EXPLOITATION SIMPLIFIE 2022 "AMAT-CI SANTE DU RETRAITE" </t>
  </si>
  <si>
    <t>DEBIT</t>
  </si>
  <si>
    <t>CREDIT</t>
  </si>
  <si>
    <t>%</t>
  </si>
  <si>
    <t>Frais d'exploitation</t>
  </si>
  <si>
    <t>Cotisations</t>
  </si>
  <si>
    <t>Provisions</t>
  </si>
  <si>
    <t>Produits Financiers</t>
  </si>
  <si>
    <t>Bénéfice de gestion</t>
  </si>
  <si>
    <t>Autres Produits</t>
  </si>
  <si>
    <t xml:space="preserve">TOTAL </t>
  </si>
  <si>
    <t>PM Annuelle Formule direct</t>
  </si>
  <si>
    <t>PM Formule Récurrence</t>
  </si>
  <si>
    <t>1) Les cotisations trimestrielles durant l'année 2021</t>
  </si>
  <si>
    <t>Total cotisation année 2021</t>
  </si>
  <si>
    <t>PM 2021</t>
  </si>
  <si>
    <t>Dotation 2022</t>
  </si>
  <si>
    <t>PM 2022</t>
  </si>
  <si>
    <t>2) Les cotisations trimestrielles durant l'année 2022</t>
  </si>
  <si>
    <t xml:space="preserve"> </t>
  </si>
  <si>
    <t>Dotation 2023</t>
  </si>
  <si>
    <t>3) Les cotisations trimestrielles durant l'année 2023</t>
  </si>
  <si>
    <t>EN COURS A L'OUVERTURE DE L'EXERCICE (2023)</t>
  </si>
  <si>
    <t xml:space="preserve">Souscriptions (Precompte) </t>
  </si>
  <si>
    <t>Retraité année antérieur SDR</t>
  </si>
  <si>
    <t>Échéances (Retraité année en cours)</t>
  </si>
  <si>
    <t>EN COURS A LA CLOTURE DE L'EXERCICE (2023)</t>
  </si>
  <si>
    <t>Total cotisation année 2023</t>
  </si>
  <si>
    <t>Libellés</t>
  </si>
  <si>
    <t xml:space="preserve">RECONCILIATION DE LA PROVISION AU BILAN SUR L'EXERCICE </t>
  </si>
  <si>
    <t>Charge Comptable du dispositif au titre de l'exercice</t>
  </si>
  <si>
    <t>Ecarts de conversion</t>
  </si>
  <si>
    <t>Autres</t>
  </si>
  <si>
    <t>PROVISION COMPTABLE DE FIN D'EXERCICE</t>
  </si>
  <si>
    <t>Remarque :</t>
  </si>
  <si>
    <t>Dotation aux Provisions Mathématique</t>
  </si>
  <si>
    <t>Prestations payées au cours de l'exercice</t>
  </si>
  <si>
    <t xml:space="preserve">
</t>
  </si>
  <si>
    <t>PM Total</t>
  </si>
  <si>
    <t>PM Final</t>
  </si>
  <si>
    <t>Total cotisation année 2022</t>
  </si>
  <si>
    <t>Reprises 2022</t>
  </si>
  <si>
    <t>PM 2023</t>
  </si>
  <si>
    <t>Reprises 2023</t>
  </si>
  <si>
    <t>SYNTHESE DES PROVISIONS MATHEMATIQUES POUR LE PRODUIT AMAT-CI SANTE DU RETRAITE</t>
  </si>
  <si>
    <t>EN COURS A L'OUVERTURE DE L'EXERCICE (2024)</t>
  </si>
  <si>
    <t>EN COURS A LA CLOTURE DE L'EXERCICE (2024)</t>
  </si>
  <si>
    <t>4) Les cotisations trimestrielles durant l'année 2024</t>
  </si>
  <si>
    <t>Total cotisation année 2024</t>
  </si>
  <si>
    <t>PM 2024</t>
  </si>
  <si>
    <t>Reprises 2024</t>
  </si>
  <si>
    <t>Dotation 2024</t>
  </si>
  <si>
    <t>PM totale au 31/12/2024</t>
  </si>
  <si>
    <t>ECART CONSTATE AUDIT EXTERNE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</si>
</sst>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C_F_A_-;\-* #,##0\ _C_F_A_-;_-* &quot;-&quot;\ _C_F_A_-;_-@_-"/>
    <numFmt numFmtId="165" formatCode="\(\$#,##0_);\(\$#,##0\)"/>
    <numFmt numFmtId="166" formatCode="#,##0\ \F\C\F\A"/>
    <numFmt numFmtId="167" formatCode="#,##0;\(#,##0\)"/>
    <numFmt numFmtId="168" formatCode="0.000%"/>
  </numFmts>
  <fonts count="3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 Narrow"/>
      <family val="2"/>
    </font>
    <font>
      <b/>
      <i/>
      <sz val="10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12"/>
      <name val="Calisto MT"/>
      <family val="1"/>
    </font>
    <font>
      <b/>
      <sz val="11"/>
      <color theme="1"/>
      <name val="Calisto MT"/>
      <family val="1"/>
    </font>
    <font>
      <sz val="12"/>
      <color theme="1"/>
      <name val="Calibri"/>
      <family val="2"/>
      <scheme val="minor"/>
    </font>
    <font>
      <b/>
      <sz val="10"/>
      <name val="Calisto MT"/>
      <family val="1"/>
    </font>
    <font>
      <sz val="10"/>
      <name val="Calisto MT"/>
      <family val="1"/>
    </font>
    <font>
      <b/>
      <sz val="12"/>
      <name val="Calisto MT"/>
      <family val="1"/>
    </font>
    <font>
      <b/>
      <i/>
      <sz val="10"/>
      <name val="Calisto MT"/>
      <family val="1"/>
    </font>
    <font>
      <b/>
      <sz val="10"/>
      <name val="Arial Narrow"/>
      <family val="2"/>
    </font>
    <font>
      <b/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 Narrow"/>
      <family val="2"/>
    </font>
    <font>
      <sz val="10"/>
      <name val="Arial Narrow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sto MT"/>
      <family val="1"/>
    </font>
    <font>
      <b/>
      <sz val="11"/>
      <color rgb="FF00B050"/>
      <name val="Calisto MT"/>
      <family val="1"/>
    </font>
    <font>
      <sz val="11"/>
      <color rgb="FF00B050"/>
      <name val="Calisto MT"/>
      <family val="1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37437055574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">
    <xf numFmtId="0" fontId="0" fillId="0" borderId="0"/>
    <xf numFmtId="0" fontId="4" fillId="0" borderId="0"/>
    <xf numFmtId="9" fontId="2" fillId="0" borderId="0" applyFont="0" applyFill="0" applyBorder="0" applyAlignment="0" applyProtection="0"/>
    <xf numFmtId="0" fontId="4" fillId="0" borderId="0"/>
    <xf numFmtId="165" fontId="2" fillId="0" borderId="0" applyFont="0" applyFill="0" applyBorder="0" applyAlignment="0" applyProtection="0"/>
  </cellStyleXfs>
  <cellXfs count="145">
    <xf numFmtId="0" fontId="0" fillId="0" borderId="0" xfId="0"/>
    <xf numFmtId="0" fontId="5" fillId="4" borderId="5" xfId="0" applyFont="1" applyFill="1" applyBorder="1" applyAlignment="1">
      <alignment horizontal="center" vertical="center"/>
    </xf>
    <xf numFmtId="0" fontId="0" fillId="3" borderId="0" xfId="0" applyFill="1"/>
    <xf numFmtId="0" fontId="6" fillId="4" borderId="5" xfId="0" applyFont="1" applyFill="1" applyBorder="1"/>
    <xf numFmtId="0" fontId="7" fillId="0" borderId="5" xfId="0" applyFont="1" applyBorder="1"/>
    <xf numFmtId="10" fontId="7" fillId="0" borderId="5" xfId="2" applyNumberFormat="1" applyFont="1" applyBorder="1"/>
    <xf numFmtId="0" fontId="6" fillId="4" borderId="5" xfId="0" applyFont="1" applyFill="1" applyBorder="1" applyAlignment="1">
      <alignment wrapText="1"/>
    </xf>
    <xf numFmtId="9" fontId="7" fillId="0" borderId="5" xfId="2" applyFont="1" applyBorder="1"/>
    <xf numFmtId="0" fontId="6" fillId="4" borderId="6" xfId="0" applyFont="1" applyFill="1" applyBorder="1"/>
    <xf numFmtId="0" fontId="7" fillId="0" borderId="6" xfId="0" applyFont="1" applyBorder="1"/>
    <xf numFmtId="9" fontId="7" fillId="0" borderId="6" xfId="2" applyFont="1" applyBorder="1"/>
    <xf numFmtId="0" fontId="8" fillId="2" borderId="7" xfId="0" applyFont="1" applyFill="1" applyBorder="1"/>
    <xf numFmtId="14" fontId="8" fillId="2" borderId="7" xfId="0" applyNumberFormat="1" applyFont="1" applyFill="1" applyBorder="1"/>
    <xf numFmtId="166" fontId="0" fillId="3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1" fillId="3" borderId="0" xfId="0" applyFont="1" applyFill="1" applyAlignment="1">
      <alignment horizontal="center"/>
    </xf>
    <xf numFmtId="0" fontId="13" fillId="3" borderId="0" xfId="3" applyFont="1" applyFill="1"/>
    <xf numFmtId="0" fontId="14" fillId="3" borderId="1" xfId="1" applyFont="1" applyFill="1" applyBorder="1" applyAlignment="1">
      <alignment horizontal="left" vertical="center"/>
    </xf>
    <xf numFmtId="0" fontId="9" fillId="3" borderId="8" xfId="1" applyFont="1" applyFill="1" applyBorder="1" applyAlignment="1">
      <alignment horizontal="left" vertical="center"/>
    </xf>
    <xf numFmtId="164" fontId="13" fillId="3" borderId="1" xfId="4" applyNumberFormat="1" applyFont="1" applyFill="1" applyBorder="1" applyAlignment="1">
      <alignment horizontal="center"/>
    </xf>
    <xf numFmtId="166" fontId="13" fillId="3" borderId="1" xfId="4" applyNumberFormat="1" applyFont="1" applyFill="1" applyBorder="1"/>
    <xf numFmtId="164" fontId="13" fillId="3" borderId="1" xfId="4" applyNumberFormat="1" applyFont="1" applyFill="1" applyBorder="1"/>
    <xf numFmtId="0" fontId="9" fillId="3" borderId="8" xfId="1" applyFont="1" applyFill="1" applyBorder="1" applyAlignment="1">
      <alignment horizontal="left" wrapText="1"/>
    </xf>
    <xf numFmtId="164" fontId="13" fillId="3" borderId="1" xfId="4" applyNumberFormat="1" applyFont="1" applyFill="1" applyBorder="1" applyAlignment="1">
      <alignment horizontal="center" vertical="center"/>
    </xf>
    <xf numFmtId="166" fontId="13" fillId="3" borderId="1" xfId="4" applyNumberFormat="1" applyFont="1" applyFill="1" applyBorder="1" applyAlignment="1">
      <alignment horizontal="right" vertical="center"/>
    </xf>
    <xf numFmtId="166" fontId="13" fillId="3" borderId="1" xfId="4" applyNumberFormat="1" applyFont="1" applyFill="1" applyBorder="1" applyAlignment="1">
      <alignment horizontal="center" vertical="center"/>
    </xf>
    <xf numFmtId="0" fontId="14" fillId="3" borderId="8" xfId="1" applyFont="1" applyFill="1" applyBorder="1" applyAlignment="1">
      <alignment horizontal="left" vertical="center"/>
    </xf>
    <xf numFmtId="164" fontId="12" fillId="3" borderId="1" xfId="4" applyNumberFormat="1" applyFont="1" applyFill="1" applyBorder="1" applyAlignment="1">
      <alignment horizontal="center"/>
    </xf>
    <xf numFmtId="166" fontId="12" fillId="3" borderId="1" xfId="4" applyNumberFormat="1" applyFont="1" applyFill="1" applyBorder="1"/>
    <xf numFmtId="164" fontId="10" fillId="3" borderId="1" xfId="4" applyNumberFormat="1" applyFont="1" applyFill="1" applyBorder="1"/>
    <xf numFmtId="164" fontId="12" fillId="3" borderId="1" xfId="4" applyNumberFormat="1" applyFont="1" applyFill="1" applyBorder="1"/>
    <xf numFmtId="166" fontId="3" fillId="3" borderId="0" xfId="0" applyNumberFormat="1" applyFont="1" applyFill="1"/>
    <xf numFmtId="0" fontId="3" fillId="3" borderId="0" xfId="0" applyFont="1" applyFill="1"/>
    <xf numFmtId="164" fontId="12" fillId="3" borderId="1" xfId="4" applyNumberFormat="1" applyFont="1" applyFill="1" applyBorder="1" applyAlignment="1">
      <alignment horizontal="center" vertical="center"/>
    </xf>
    <xf numFmtId="166" fontId="12" fillId="3" borderId="1" xfId="4" applyNumberFormat="1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left" vertical="center"/>
    </xf>
    <xf numFmtId="0" fontId="9" fillId="3" borderId="8" xfId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left" vertical="center"/>
    </xf>
    <xf numFmtId="166" fontId="12" fillId="3" borderId="1" xfId="4" applyNumberFormat="1" applyFont="1" applyFill="1" applyBorder="1" applyAlignment="1">
      <alignment horizontal="right" vertical="center"/>
    </xf>
    <xf numFmtId="164" fontId="12" fillId="3" borderId="1" xfId="3" applyNumberFormat="1" applyFont="1" applyFill="1" applyBorder="1" applyAlignment="1">
      <alignment vertical="center"/>
    </xf>
    <xf numFmtId="166" fontId="12" fillId="3" borderId="1" xfId="3" applyNumberFormat="1" applyFont="1" applyFill="1" applyBorder="1" applyAlignment="1">
      <alignment vertical="center"/>
    </xf>
    <xf numFmtId="164" fontId="16" fillId="3" borderId="1" xfId="3" applyNumberFormat="1" applyFont="1" applyFill="1" applyBorder="1" applyAlignment="1">
      <alignment vertical="center"/>
    </xf>
    <xf numFmtId="166" fontId="16" fillId="3" borderId="1" xfId="3" applyNumberFormat="1" applyFont="1" applyFill="1" applyBorder="1" applyAlignment="1">
      <alignment vertical="center"/>
    </xf>
    <xf numFmtId="0" fontId="17" fillId="3" borderId="0" xfId="0" applyFont="1" applyFill="1"/>
    <xf numFmtId="166" fontId="17" fillId="3" borderId="0" xfId="0" applyNumberFormat="1" applyFont="1" applyFill="1"/>
    <xf numFmtId="3" fontId="18" fillId="3" borderId="0" xfId="0" applyNumberFormat="1" applyFont="1" applyFill="1"/>
    <xf numFmtId="166" fontId="18" fillId="3" borderId="0" xfId="0" applyNumberFormat="1" applyFont="1" applyFill="1"/>
    <xf numFmtId="0" fontId="0" fillId="3" borderId="1" xfId="0" applyFill="1" applyBorder="1"/>
    <xf numFmtId="166" fontId="0" fillId="3" borderId="1" xfId="0" applyNumberFormat="1" applyFill="1" applyBorder="1"/>
    <xf numFmtId="0" fontId="3" fillId="3" borderId="1" xfId="0" applyFont="1" applyFill="1" applyBorder="1"/>
    <xf numFmtId="166" fontId="3" fillId="3" borderId="1" xfId="0" applyNumberFormat="1" applyFont="1" applyFill="1" applyBorder="1"/>
    <xf numFmtId="0" fontId="14" fillId="3" borderId="14" xfId="1" applyFont="1" applyFill="1" applyBorder="1" applyAlignment="1">
      <alignment horizontal="left" vertical="center"/>
    </xf>
    <xf numFmtId="10" fontId="13" fillId="3" borderId="1" xfId="2" applyNumberFormat="1" applyFont="1" applyFill="1" applyBorder="1" applyAlignment="1">
      <alignment horizontal="center"/>
    </xf>
    <xf numFmtId="9" fontId="12" fillId="3" borderId="1" xfId="2" applyFont="1" applyFill="1" applyBorder="1" applyAlignment="1">
      <alignment horizontal="center"/>
    </xf>
    <xf numFmtId="0" fontId="21" fillId="3" borderId="1" xfId="1" applyFont="1" applyFill="1" applyBorder="1" applyAlignment="1">
      <alignment horizontal="left" vertical="center"/>
    </xf>
    <xf numFmtId="164" fontId="22" fillId="3" borderId="1" xfId="4" applyNumberFormat="1" applyFont="1" applyFill="1" applyBorder="1"/>
    <xf numFmtId="166" fontId="22" fillId="3" borderId="1" xfId="4" applyNumberFormat="1" applyFont="1" applyFill="1" applyBorder="1"/>
    <xf numFmtId="164" fontId="22" fillId="3" borderId="1" xfId="4" applyNumberFormat="1" applyFont="1" applyFill="1" applyBorder="1" applyAlignment="1">
      <alignment horizontal="center" vertical="center"/>
    </xf>
    <xf numFmtId="166" fontId="22" fillId="3" borderId="1" xfId="4" applyNumberFormat="1" applyFont="1" applyFill="1" applyBorder="1" applyAlignment="1">
      <alignment horizontal="center" vertical="center"/>
    </xf>
    <xf numFmtId="164" fontId="3" fillId="3" borderId="1" xfId="4" applyNumberFormat="1" applyFont="1" applyFill="1" applyBorder="1"/>
    <xf numFmtId="166" fontId="16" fillId="3" borderId="1" xfId="4" applyNumberFormat="1" applyFont="1" applyFill="1" applyBorder="1"/>
    <xf numFmtId="164" fontId="16" fillId="3" borderId="1" xfId="4" applyNumberFormat="1" applyFont="1" applyFill="1" applyBorder="1"/>
    <xf numFmtId="164" fontId="16" fillId="3" borderId="1" xfId="4" applyNumberFormat="1" applyFont="1" applyFill="1" applyBorder="1" applyAlignment="1">
      <alignment horizontal="center" vertical="center"/>
    </xf>
    <xf numFmtId="166" fontId="16" fillId="3" borderId="1" xfId="4" applyNumberFormat="1" applyFont="1" applyFill="1" applyBorder="1" applyAlignment="1">
      <alignment horizontal="center" vertical="center"/>
    </xf>
    <xf numFmtId="0" fontId="18" fillId="3" borderId="0" xfId="0" applyFont="1" applyFill="1"/>
    <xf numFmtId="166" fontId="0" fillId="3" borderId="8" xfId="0" applyNumberFormat="1" applyFill="1" applyBorder="1"/>
    <xf numFmtId="0" fontId="3" fillId="3" borderId="1" xfId="0" applyFont="1" applyFill="1" applyBorder="1" applyAlignment="1">
      <alignment horizontal="center" wrapText="1"/>
    </xf>
    <xf numFmtId="0" fontId="23" fillId="3" borderId="1" xfId="0" applyFont="1" applyFill="1" applyBorder="1" applyAlignment="1">
      <alignment horizontal="center" wrapText="1"/>
    </xf>
    <xf numFmtId="166" fontId="24" fillId="3" borderId="1" xfId="0" applyNumberFormat="1" applyFont="1" applyFill="1" applyBorder="1"/>
    <xf numFmtId="166" fontId="23" fillId="3" borderId="1" xfId="0" applyNumberFormat="1" applyFont="1" applyFill="1" applyBorder="1"/>
    <xf numFmtId="166" fontId="24" fillId="3" borderId="0" xfId="0" applyNumberFormat="1" applyFont="1" applyFill="1"/>
    <xf numFmtId="0" fontId="24" fillId="3" borderId="0" xfId="0" applyFont="1" applyFill="1"/>
    <xf numFmtId="3" fontId="0" fillId="3" borderId="0" xfId="0" applyNumberFormat="1" applyFill="1"/>
    <xf numFmtId="3" fontId="3" fillId="3" borderId="0" xfId="0" applyNumberFormat="1" applyFont="1" applyFill="1"/>
    <xf numFmtId="166" fontId="25" fillId="3" borderId="0" xfId="0" applyNumberFormat="1" applyFont="1" applyFill="1"/>
    <xf numFmtId="166" fontId="12" fillId="3" borderId="1" xfId="4" applyNumberFormat="1" applyFont="1" applyFill="1" applyBorder="1" applyAlignment="1">
      <alignment horizontal="center"/>
    </xf>
    <xf numFmtId="166" fontId="26" fillId="3" borderId="0" xfId="0" applyNumberFormat="1" applyFont="1" applyFill="1"/>
    <xf numFmtId="0" fontId="23" fillId="3" borderId="0" xfId="0" applyFont="1" applyFill="1" applyAlignment="1">
      <alignment horizontal="center" wrapText="1"/>
    </xf>
    <xf numFmtId="166" fontId="23" fillId="3" borderId="0" xfId="0" applyNumberFormat="1" applyFont="1" applyFill="1"/>
    <xf numFmtId="0" fontId="3" fillId="3" borderId="1" xfId="0" applyFont="1" applyFill="1" applyBorder="1" applyAlignment="1">
      <alignment horizontal="right"/>
    </xf>
    <xf numFmtId="167" fontId="28" fillId="0" borderId="15" xfId="0" applyNumberFormat="1" applyFont="1" applyBorder="1" applyAlignment="1" applyProtection="1">
      <alignment horizontal="right" vertical="center" wrapText="1"/>
      <protection locked="0"/>
    </xf>
    <xf numFmtId="0" fontId="29" fillId="5" borderId="15" xfId="0" applyFont="1" applyFill="1" applyBorder="1" applyAlignment="1" applyProtection="1">
      <alignment horizontal="center" vertical="center" wrapText="1"/>
      <protection locked="0"/>
    </xf>
    <xf numFmtId="3" fontId="27" fillId="0" borderId="15" xfId="0" applyNumberFormat="1" applyFont="1" applyBorder="1"/>
    <xf numFmtId="3" fontId="28" fillId="0" borderId="15" xfId="0" applyNumberFormat="1" applyFont="1" applyBorder="1"/>
    <xf numFmtId="3" fontId="0" fillId="0" borderId="15" xfId="0" applyNumberFormat="1" applyBorder="1"/>
    <xf numFmtId="3" fontId="0" fillId="0" borderId="0" xfId="0" applyNumberFormat="1"/>
    <xf numFmtId="3" fontId="27" fillId="6" borderId="15" xfId="0" applyNumberFormat="1" applyFont="1" applyFill="1" applyBorder="1" applyAlignment="1" applyProtection="1">
      <alignment horizontal="right" vertical="center" wrapText="1"/>
      <protection locked="0"/>
    </xf>
    <xf numFmtId="0" fontId="32" fillId="3" borderId="0" xfId="0" applyFont="1" applyFill="1"/>
    <xf numFmtId="0" fontId="28" fillId="0" borderId="15" xfId="0" applyFont="1" applyBorder="1" applyAlignment="1" applyProtection="1">
      <alignment horizontal="left" vertical="center" wrapText="1" indent="1"/>
      <protection locked="0"/>
    </xf>
    <xf numFmtId="0" fontId="28" fillId="0" borderId="0" xfId="0" applyFont="1" applyAlignment="1" applyProtection="1">
      <alignment horizontal="left" vertical="center" wrapText="1" indent="1"/>
      <protection locked="0"/>
    </xf>
    <xf numFmtId="3" fontId="27" fillId="0" borderId="15" xfId="0" applyNumberFormat="1" applyFont="1" applyBorder="1" applyAlignment="1" applyProtection="1">
      <alignment horizontal="left" vertical="center" wrapText="1" indent="1"/>
      <protection locked="0"/>
    </xf>
    <xf numFmtId="3" fontId="27" fillId="6" borderId="15" xfId="0" applyNumberFormat="1" applyFont="1" applyFill="1" applyBorder="1" applyAlignment="1" applyProtection="1">
      <alignment horizontal="left" vertical="center" wrapText="1" indent="1"/>
      <protection locked="0"/>
    </xf>
    <xf numFmtId="0" fontId="3" fillId="3" borderId="0" xfId="0" applyFont="1" applyFill="1" applyAlignment="1">
      <alignment horizontal="center" vertical="center" wrapText="1"/>
    </xf>
    <xf numFmtId="0" fontId="33" fillId="3" borderId="0" xfId="0" applyFont="1" applyFill="1"/>
    <xf numFmtId="0" fontId="10" fillId="3" borderId="1" xfId="0" applyFont="1" applyFill="1" applyBorder="1" applyAlignment="1">
      <alignment horizontal="center" wrapText="1"/>
    </xf>
    <xf numFmtId="0" fontId="34" fillId="3" borderId="1" xfId="0" applyFont="1" applyFill="1" applyBorder="1" applyAlignment="1">
      <alignment horizontal="center" wrapText="1"/>
    </xf>
    <xf numFmtId="0" fontId="33" fillId="3" borderId="1" xfId="0" applyFont="1" applyFill="1" applyBorder="1"/>
    <xf numFmtId="166" fontId="33" fillId="3" borderId="8" xfId="0" applyNumberFormat="1" applyFont="1" applyFill="1" applyBorder="1"/>
    <xf numFmtId="166" fontId="33" fillId="3" borderId="1" xfId="0" applyNumberFormat="1" applyFont="1" applyFill="1" applyBorder="1"/>
    <xf numFmtId="166" fontId="35" fillId="3" borderId="1" xfId="0" applyNumberFormat="1" applyFont="1" applyFill="1" applyBorder="1"/>
    <xf numFmtId="166" fontId="10" fillId="3" borderId="1" xfId="0" applyNumberFormat="1" applyFont="1" applyFill="1" applyBorder="1"/>
    <xf numFmtId="166" fontId="34" fillId="3" borderId="1" xfId="0" applyNumberFormat="1" applyFont="1" applyFill="1" applyBorder="1"/>
    <xf numFmtId="0" fontId="10" fillId="3" borderId="1" xfId="0" applyFont="1" applyFill="1" applyBorder="1"/>
    <xf numFmtId="166" fontId="33" fillId="3" borderId="0" xfId="0" applyNumberFormat="1" applyFont="1" applyFill="1"/>
    <xf numFmtId="166" fontId="35" fillId="3" borderId="0" xfId="0" applyNumberFormat="1" applyFont="1" applyFill="1"/>
    <xf numFmtId="0" fontId="35" fillId="3" borderId="0" xfId="0" applyFont="1" applyFill="1"/>
    <xf numFmtId="0" fontId="10" fillId="3" borderId="1" xfId="0" applyFont="1" applyFill="1" applyBorder="1" applyAlignment="1">
      <alignment horizontal="left"/>
    </xf>
    <xf numFmtId="166" fontId="10" fillId="3" borderId="1" xfId="0" applyNumberFormat="1" applyFont="1" applyFill="1" applyBorder="1" applyAlignment="1">
      <alignment horizontal="left"/>
    </xf>
    <xf numFmtId="166" fontId="10" fillId="3" borderId="0" xfId="0" applyNumberFormat="1" applyFont="1" applyFill="1" applyAlignment="1">
      <alignment horizontal="left"/>
    </xf>
    <xf numFmtId="166" fontId="10" fillId="3" borderId="0" xfId="0" applyNumberFormat="1" applyFont="1" applyFill="1"/>
    <xf numFmtId="0" fontId="36" fillId="3" borderId="0" xfId="0" applyFont="1" applyFill="1"/>
    <xf numFmtId="9" fontId="0" fillId="3" borderId="0" xfId="2" applyFont="1" applyFill="1"/>
    <xf numFmtId="168" fontId="0" fillId="3" borderId="0" xfId="2" applyNumberFormat="1" applyFont="1" applyFill="1"/>
    <xf numFmtId="0" fontId="12" fillId="3" borderId="1" xfId="3" applyFont="1" applyFill="1" applyBorder="1" applyAlignment="1">
      <alignment horizontal="center" vertical="center" textRotation="90"/>
    </xf>
    <xf numFmtId="0" fontId="12" fillId="3" borderId="1" xfId="3" applyFont="1" applyFill="1" applyBorder="1" applyAlignment="1">
      <alignment horizontal="center" vertical="center"/>
    </xf>
    <xf numFmtId="0" fontId="15" fillId="3" borderId="1" xfId="3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12" fillId="3" borderId="8" xfId="3" applyFont="1" applyFill="1" applyBorder="1" applyAlignment="1">
      <alignment horizontal="center"/>
    </xf>
    <xf numFmtId="0" fontId="13" fillId="3" borderId="10" xfId="3" applyFont="1" applyFill="1" applyBorder="1" applyAlignment="1">
      <alignment horizontal="center"/>
    </xf>
    <xf numFmtId="14" fontId="14" fillId="3" borderId="8" xfId="1" applyNumberFormat="1" applyFont="1" applyFill="1" applyBorder="1" applyAlignment="1">
      <alignment horizontal="center" vertical="center"/>
    </xf>
    <xf numFmtId="0" fontId="14" fillId="3" borderId="10" xfId="1" applyFont="1" applyFill="1" applyBorder="1" applyAlignment="1">
      <alignment horizontal="center" vertical="center"/>
    </xf>
    <xf numFmtId="14" fontId="21" fillId="3" borderId="11" xfId="1" applyNumberFormat="1" applyFont="1" applyFill="1" applyBorder="1" applyAlignment="1">
      <alignment horizontal="center" vertical="center"/>
    </xf>
    <xf numFmtId="0" fontId="21" fillId="3" borderId="12" xfId="1" applyFont="1" applyFill="1" applyBorder="1" applyAlignment="1">
      <alignment horizontal="center" vertical="center"/>
    </xf>
    <xf numFmtId="14" fontId="14" fillId="3" borderId="11" xfId="1" applyNumberFormat="1" applyFont="1" applyFill="1" applyBorder="1" applyAlignment="1">
      <alignment horizontal="center" vertical="center"/>
    </xf>
    <xf numFmtId="0" fontId="14" fillId="3" borderId="12" xfId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0" fillId="5" borderId="15" xfId="0" applyFont="1" applyFill="1" applyBorder="1" applyAlignment="1" applyProtection="1">
      <alignment horizontal="center" vertical="center" wrapText="1"/>
      <protection locked="0"/>
    </xf>
    <xf numFmtId="0" fontId="27" fillId="6" borderId="15" xfId="0" applyFont="1" applyFill="1" applyBorder="1" applyAlignment="1" applyProtection="1">
      <alignment horizontal="left" vertical="center" wrapText="1" indent="1"/>
      <protection locked="0"/>
    </xf>
    <xf numFmtId="0" fontId="31" fillId="3" borderId="0" xfId="0" applyFont="1" applyFill="1" applyAlignment="1">
      <alignment horizontal="left" wrapText="1"/>
    </xf>
    <xf numFmtId="0" fontId="31" fillId="3" borderId="0" xfId="0" applyFont="1" applyFill="1" applyAlignment="1">
      <alignment horizontal="left"/>
    </xf>
    <xf numFmtId="0" fontId="29" fillId="5" borderId="15" xfId="0" applyFont="1" applyFill="1" applyBorder="1" applyAlignment="1" applyProtection="1">
      <alignment horizontal="center" vertical="center" wrapText="1"/>
      <protection locked="0"/>
    </xf>
    <xf numFmtId="0" fontId="27" fillId="0" borderId="15" xfId="0" applyFont="1" applyBorder="1" applyAlignment="1" applyProtection="1">
      <alignment horizontal="left" vertical="center" wrapText="1" indent="1"/>
      <protection locked="0"/>
    </xf>
    <xf numFmtId="0" fontId="28" fillId="0" borderId="15" xfId="0" applyFont="1" applyBorder="1" applyAlignment="1" applyProtection="1">
      <alignment horizontal="left" vertical="center" wrapText="1" indent="1"/>
      <protection locked="0"/>
    </xf>
    <xf numFmtId="14" fontId="14" fillId="3" borderId="9" xfId="1" applyNumberFormat="1" applyFont="1" applyFill="1" applyBorder="1" applyAlignment="1">
      <alignment horizontal="center" vertical="center"/>
    </xf>
    <xf numFmtId="14" fontId="14" fillId="3" borderId="10" xfId="1" applyNumberFormat="1" applyFont="1" applyFill="1" applyBorder="1" applyAlignment="1">
      <alignment horizontal="center" vertical="center"/>
    </xf>
  </cellXfs>
  <cellStyles count="5">
    <cellStyle name="Milliers [0] 2" xfId="4" xr:uid="{00000000-0005-0000-0000-000000000000}"/>
    <cellStyle name="NiveauLigne_4" xfId="1" builtinId="1" iLevel="3"/>
    <cellStyle name="Normal" xfId="0" builtinId="0"/>
    <cellStyle name="Normal 2" xfId="3" xr:uid="{00000000-0005-0000-0000-000003000000}"/>
    <cellStyle name="Pourcentage" xfId="2" builtinId="5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Loyale-vie2\adou\SIM_GRP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KO%20LANDRY/Desktop/AMAT%20CI/SANTE%20DU%20RETRAITE_AMATCI%201404(TEST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OUASSI_F/Documents/PROJETS/TARIFICATION/ASCOMA/Tarification%20ASCOMA%20PREVOYANC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082021/Desktop/SIMMU%20COTISATION/SDR%202021%20NOUVELLE%20PRIME%20X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ATCI01/Desktop/DOC%20AMAT-CI%202/dd/Dossier%20pr&#233;compte/ETAT%20SDR%202023/CA%20ET%20PM%20EXO%2023%20COMPTA%20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xel/Documents/ZP/_Statuts/Comptabilit&#233;/Liasse%20Systeme%20Normal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EES TECHNIQUES"/>
      <sheetName val="PREVO GRPE"/>
      <sheetName val="PRET RBM PER"/>
      <sheetName val="TABLE DE BASE"/>
      <sheetName val="PRET RBM UNQ"/>
      <sheetName val="CALCULS DE BASE"/>
      <sheetName val="BASE RBM UNQ"/>
    </sheetNames>
    <sheetDataSet>
      <sheetData sheetId="0" refreshError="1">
        <row r="25">
          <cell r="F25">
            <v>0.2</v>
          </cell>
        </row>
        <row r="27">
          <cell r="F27">
            <v>0.03</v>
          </cell>
        </row>
      </sheetData>
      <sheetData sheetId="1"/>
      <sheetData sheetId="2" refreshError="1">
        <row r="14">
          <cell r="F14">
            <v>40</v>
          </cell>
        </row>
        <row r="18">
          <cell r="F18">
            <v>12</v>
          </cell>
        </row>
        <row r="21">
          <cell r="F21">
            <v>0</v>
          </cell>
        </row>
        <row r="23">
          <cell r="F23">
            <v>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DE MORTALITE"/>
      <sheetName val="Tarification"/>
      <sheetName val="Calcul Prime"/>
      <sheetName val="EVALUATION CAPITAL CONST"/>
      <sheetName val="dépenses champs"/>
      <sheetName val="AJUSTEMENT DES PRIMES"/>
      <sheetName val="PROVISION MATHEMATIQUE"/>
      <sheetName val="SIMU CAPITAL ACQUIT"/>
      <sheetName val="Feuil1"/>
      <sheetName val="PRECOMPTE DEC MARS JUIN"/>
      <sheetName val="Feuil2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3.5000000000000003E-2</v>
          </cell>
        </row>
        <row r="4">
          <cell r="D4">
            <v>8.6374459977134332E-3</v>
          </cell>
        </row>
        <row r="6">
          <cell r="D6">
            <v>106</v>
          </cell>
        </row>
        <row r="7">
          <cell r="D7">
            <v>0.05</v>
          </cell>
        </row>
        <row r="9">
          <cell r="D9">
            <v>44561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EES TECH"/>
      <sheetName val="Table SALARIE"/>
      <sheetName val="Donnees"/>
      <sheetName val="FICHETARIFICATION"/>
      <sheetName val="BORDEREAU TARIF"/>
      <sheetName val="SIMULATION PREVOYCE"/>
      <sheetName val="SIMULATION COLL EMPRUNT"/>
      <sheetName val="TABLE EVAL BORD"/>
      <sheetName val="Parmètres de tarification"/>
      <sheetName val="TABLE EVAL SIMUL"/>
      <sheetName val="TABLE-BASE"/>
      <sheetName val="TABLE EVL EMPRUNT"/>
      <sheetName val="Feuil3"/>
      <sheetName val="TAR_MULTIPLE"/>
    </sheetNames>
    <sheetDataSet>
      <sheetData sheetId="0">
        <row r="5">
          <cell r="D5">
            <v>3.5000000000000003E-2</v>
          </cell>
        </row>
        <row r="6">
          <cell r="H6">
            <v>0</v>
          </cell>
        </row>
        <row r="7">
          <cell r="H7">
            <v>0</v>
          </cell>
        </row>
        <row r="9">
          <cell r="H9">
            <v>4</v>
          </cell>
        </row>
        <row r="10">
          <cell r="H10">
            <v>35</v>
          </cell>
        </row>
        <row r="11">
          <cell r="H11">
            <v>25</v>
          </cell>
        </row>
        <row r="12">
          <cell r="H12">
            <v>25</v>
          </cell>
        </row>
        <row r="13">
          <cell r="H13">
            <v>70</v>
          </cell>
        </row>
        <row r="16">
          <cell r="H16">
            <v>8.9999999999999998E-4</v>
          </cell>
        </row>
        <row r="17">
          <cell r="E17" t="str">
            <v>%Cap</v>
          </cell>
        </row>
        <row r="18">
          <cell r="C18">
            <v>0.1</v>
          </cell>
          <cell r="D18">
            <v>0.1</v>
          </cell>
          <cell r="E18">
            <v>2.9999999999999997E-4</v>
          </cell>
          <cell r="H18">
            <v>8.9999999999999998E-4</v>
          </cell>
        </row>
        <row r="19">
          <cell r="C19">
            <v>0.25</v>
          </cell>
          <cell r="D19">
            <v>0.1</v>
          </cell>
          <cell r="E19">
            <v>0</v>
          </cell>
        </row>
      </sheetData>
      <sheetData sheetId="1" refreshError="1"/>
      <sheetData sheetId="2" refreshError="1"/>
      <sheetData sheetId="3">
        <row r="2">
          <cell r="B2">
            <v>3.499999999999992E-2</v>
          </cell>
        </row>
        <row r="10">
          <cell r="M10">
            <v>1</v>
          </cell>
        </row>
        <row r="15">
          <cell r="B15">
            <v>1</v>
          </cell>
          <cell r="C15">
            <v>55</v>
          </cell>
          <cell r="E15">
            <v>1000000</v>
          </cell>
          <cell r="F15">
            <v>0</v>
          </cell>
          <cell r="G15">
            <v>0</v>
          </cell>
          <cell r="L15">
            <v>0</v>
          </cell>
          <cell r="M15">
            <v>0.9</v>
          </cell>
          <cell r="N15">
            <v>4</v>
          </cell>
          <cell r="O15">
            <v>0</v>
          </cell>
        </row>
        <row r="16">
          <cell r="B16">
            <v>2</v>
          </cell>
          <cell r="C16">
            <v>55</v>
          </cell>
          <cell r="E16">
            <v>1000000</v>
          </cell>
          <cell r="F16">
            <v>0</v>
          </cell>
          <cell r="G16">
            <v>0</v>
          </cell>
          <cell r="L16">
            <v>0</v>
          </cell>
          <cell r="M16">
            <v>0.9</v>
          </cell>
          <cell r="N16">
            <v>4</v>
          </cell>
          <cell r="O16">
            <v>0</v>
          </cell>
        </row>
        <row r="17">
          <cell r="B17">
            <v>3</v>
          </cell>
          <cell r="C17">
            <v>55</v>
          </cell>
          <cell r="E17">
            <v>1000000</v>
          </cell>
          <cell r="F17">
            <v>0</v>
          </cell>
          <cell r="G17">
            <v>0</v>
          </cell>
          <cell r="L17">
            <v>0</v>
          </cell>
          <cell r="M17">
            <v>0.9</v>
          </cell>
          <cell r="N17">
            <v>4</v>
          </cell>
          <cell r="O17">
            <v>0</v>
          </cell>
        </row>
        <row r="18">
          <cell r="B18">
            <v>4</v>
          </cell>
          <cell r="C18">
            <v>55</v>
          </cell>
          <cell r="E18">
            <v>1000000</v>
          </cell>
          <cell r="F18">
            <v>0</v>
          </cell>
          <cell r="G18">
            <v>0</v>
          </cell>
          <cell r="I18">
            <v>1000000</v>
          </cell>
          <cell r="J18">
            <v>500000</v>
          </cell>
          <cell r="K18">
            <v>250000</v>
          </cell>
          <cell r="L18">
            <v>0</v>
          </cell>
          <cell r="M18">
            <v>0.8</v>
          </cell>
          <cell r="N18">
            <v>4</v>
          </cell>
          <cell r="O18">
            <v>0</v>
          </cell>
        </row>
        <row r="24">
          <cell r="I24">
            <v>0</v>
          </cell>
        </row>
      </sheetData>
      <sheetData sheetId="4" refreshError="1"/>
      <sheetData sheetId="5">
        <row r="2">
          <cell r="B2">
            <v>3.4450784628919706E-2</v>
          </cell>
        </row>
        <row r="10">
          <cell r="L10">
            <v>12</v>
          </cell>
        </row>
        <row r="13">
          <cell r="B13" t="str">
            <v>Code</v>
          </cell>
          <cell r="C13" t="str">
            <v>Age moy.</v>
          </cell>
          <cell r="D13" t="str">
            <v>Age max.</v>
          </cell>
          <cell r="E13" t="str">
            <v>Capital Décès (Mont Forf.)</v>
          </cell>
          <cell r="F13" t="str">
            <v>Acc (xdec)</v>
          </cell>
          <cell r="G13" t="str">
            <v>IPT (xdec)</v>
          </cell>
          <cell r="I13" t="str">
            <v>Frais funéraires</v>
          </cell>
          <cell r="L13" t="str">
            <v>Moy. ConJ</v>
          </cell>
          <cell r="M13" t="str">
            <v>Moy. Enft</v>
          </cell>
        </row>
        <row r="14">
          <cell r="I14" t="str">
            <v>Adhérent</v>
          </cell>
          <cell r="J14" t="str">
            <v>Conjoint</v>
          </cell>
          <cell r="K14" t="str">
            <v>Enfant</v>
          </cell>
        </row>
        <row r="15">
          <cell r="B15">
            <v>1</v>
          </cell>
          <cell r="C15">
            <v>45</v>
          </cell>
          <cell r="D15">
            <v>65</v>
          </cell>
          <cell r="E15">
            <v>20000000</v>
          </cell>
          <cell r="F15">
            <v>1</v>
          </cell>
          <cell r="G15">
            <v>1</v>
          </cell>
          <cell r="I15">
            <v>1000000</v>
          </cell>
          <cell r="J15">
            <v>1000000</v>
          </cell>
          <cell r="K15">
            <v>500000</v>
          </cell>
          <cell r="L15">
            <v>1</v>
          </cell>
          <cell r="M15">
            <v>4</v>
          </cell>
        </row>
        <row r="16">
          <cell r="B16">
            <v>2</v>
          </cell>
          <cell r="C16">
            <v>45</v>
          </cell>
          <cell r="D16">
            <v>65</v>
          </cell>
          <cell r="E16">
            <v>10000000</v>
          </cell>
          <cell r="F16">
            <v>1</v>
          </cell>
          <cell r="G16">
            <v>1</v>
          </cell>
          <cell r="I16">
            <v>750000</v>
          </cell>
          <cell r="J16">
            <v>750000</v>
          </cell>
          <cell r="K16">
            <v>350000</v>
          </cell>
          <cell r="L16">
            <v>1</v>
          </cell>
          <cell r="M16">
            <v>4</v>
          </cell>
        </row>
        <row r="17">
          <cell r="B17">
            <v>3</v>
          </cell>
          <cell r="C17">
            <v>45</v>
          </cell>
          <cell r="D17">
            <v>55</v>
          </cell>
          <cell r="E17">
            <v>5000000</v>
          </cell>
          <cell r="F17">
            <v>1</v>
          </cell>
          <cell r="G17">
            <v>1</v>
          </cell>
          <cell r="I17">
            <v>500000</v>
          </cell>
          <cell r="J17">
            <v>500000</v>
          </cell>
          <cell r="K17">
            <v>250000</v>
          </cell>
          <cell r="L17">
            <v>1</v>
          </cell>
          <cell r="M17">
            <v>4</v>
          </cell>
        </row>
        <row r="18">
          <cell r="B18">
            <v>4</v>
          </cell>
          <cell r="C18">
            <v>45</v>
          </cell>
          <cell r="D18">
            <v>55</v>
          </cell>
          <cell r="E18">
            <v>2500000</v>
          </cell>
          <cell r="F18">
            <v>1</v>
          </cell>
          <cell r="G18">
            <v>1</v>
          </cell>
          <cell r="I18">
            <v>300000</v>
          </cell>
          <cell r="J18">
            <v>300000</v>
          </cell>
          <cell r="K18">
            <v>100000</v>
          </cell>
          <cell r="L18">
            <v>1</v>
          </cell>
          <cell r="M18">
            <v>4</v>
          </cell>
        </row>
      </sheetData>
      <sheetData sheetId="6">
        <row r="2">
          <cell r="A2" t="e">
            <v>#N/A</v>
          </cell>
          <cell r="G2" t="e">
            <v>#N/A</v>
          </cell>
          <cell r="I2">
            <v>3.499999999999992E-2</v>
          </cell>
        </row>
        <row r="10">
          <cell r="J10">
            <v>40</v>
          </cell>
        </row>
        <row r="11">
          <cell r="J11">
            <v>12</v>
          </cell>
        </row>
        <row r="12">
          <cell r="J12">
            <v>1</v>
          </cell>
        </row>
        <row r="16">
          <cell r="C16">
            <v>0.15</v>
          </cell>
          <cell r="D16">
            <v>6</v>
          </cell>
          <cell r="E16">
            <v>12</v>
          </cell>
          <cell r="I16">
            <v>0.15</v>
          </cell>
          <cell r="J16">
            <v>6</v>
          </cell>
          <cell r="K16">
            <v>72</v>
          </cell>
        </row>
        <row r="17">
          <cell r="C17">
            <v>0.15</v>
          </cell>
          <cell r="D17">
            <v>6</v>
          </cell>
          <cell r="E17">
            <v>24</v>
          </cell>
          <cell r="I17">
            <v>0.15</v>
          </cell>
          <cell r="J17">
            <v>6</v>
          </cell>
          <cell r="K17">
            <v>84</v>
          </cell>
        </row>
        <row r="18">
          <cell r="C18">
            <v>0.15</v>
          </cell>
          <cell r="D18">
            <v>6</v>
          </cell>
          <cell r="E18">
            <v>36</v>
          </cell>
          <cell r="I18">
            <v>0.15</v>
          </cell>
          <cell r="J18">
            <v>6</v>
          </cell>
          <cell r="K18">
            <v>96</v>
          </cell>
        </row>
        <row r="19">
          <cell r="C19">
            <v>0.15</v>
          </cell>
          <cell r="D19">
            <v>6</v>
          </cell>
          <cell r="E19">
            <v>48</v>
          </cell>
          <cell r="I19">
            <v>0.15</v>
          </cell>
          <cell r="J19">
            <v>0</v>
          </cell>
          <cell r="K19">
            <v>108</v>
          </cell>
        </row>
        <row r="20">
          <cell r="C20">
            <v>0.15</v>
          </cell>
          <cell r="D20">
            <v>6</v>
          </cell>
          <cell r="E20">
            <v>60</v>
          </cell>
          <cell r="I20">
            <v>0.15</v>
          </cell>
          <cell r="J20">
            <v>0</v>
          </cell>
          <cell r="K20">
            <v>120</v>
          </cell>
        </row>
      </sheetData>
      <sheetData sheetId="7">
        <row r="17">
          <cell r="M17">
            <v>7.2138471527775916E-3</v>
          </cell>
        </row>
        <row r="30">
          <cell r="I30">
            <v>1</v>
          </cell>
          <cell r="L30">
            <v>0</v>
          </cell>
          <cell r="O30">
            <v>0</v>
          </cell>
        </row>
        <row r="31">
          <cell r="I31">
            <v>2</v>
          </cell>
          <cell r="L31">
            <v>0</v>
          </cell>
          <cell r="O31">
            <v>0</v>
          </cell>
        </row>
        <row r="32">
          <cell r="I32">
            <v>3</v>
          </cell>
          <cell r="L32">
            <v>0</v>
          </cell>
          <cell r="O32">
            <v>0</v>
          </cell>
        </row>
        <row r="33">
          <cell r="I33">
            <v>4</v>
          </cell>
          <cell r="L33">
            <v>12636.577050180473</v>
          </cell>
          <cell r="O33">
            <v>12636.577050180502</v>
          </cell>
        </row>
      </sheetData>
      <sheetData sheetId="8" refreshError="1"/>
      <sheetData sheetId="9">
        <row r="17">
          <cell r="L17">
            <v>5.7072534074761676E-4</v>
          </cell>
        </row>
        <row r="30">
          <cell r="H30">
            <v>1</v>
          </cell>
          <cell r="N30">
            <v>42969.194436655453</v>
          </cell>
          <cell r="Q30">
            <v>3637.8508779073254</v>
          </cell>
        </row>
        <row r="31">
          <cell r="H31">
            <v>2</v>
          </cell>
          <cell r="N31">
            <v>30753.842434876562</v>
          </cell>
          <cell r="Q31">
            <v>2603.6767541841627</v>
          </cell>
        </row>
        <row r="32">
          <cell r="H32">
            <v>3</v>
          </cell>
          <cell r="N32">
            <v>21484.597218327726</v>
          </cell>
          <cell r="Q32">
            <v>1818.9254389536627</v>
          </cell>
        </row>
        <row r="33">
          <cell r="H33">
            <v>4</v>
          </cell>
          <cell r="N33">
            <v>9944.6515457665791</v>
          </cell>
          <cell r="Q33">
            <v>841.93245487953527</v>
          </cell>
        </row>
      </sheetData>
      <sheetData sheetId="10"/>
      <sheetData sheetId="11">
        <row r="2">
          <cell r="A2">
            <v>1000000</v>
          </cell>
          <cell r="C2">
            <v>1.2499999999999999E-2</v>
          </cell>
          <cell r="J2">
            <v>12</v>
          </cell>
          <cell r="K2">
            <v>0.15</v>
          </cell>
          <cell r="L2">
            <v>0</v>
          </cell>
        </row>
        <row r="23">
          <cell r="AP23" t="e">
            <v>#N/A</v>
          </cell>
          <cell r="AQ23" t="e">
            <v>#N/A</v>
          </cell>
          <cell r="AR23" t="e">
            <v>#N/A</v>
          </cell>
        </row>
      </sheetData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DE MORTALITE"/>
      <sheetName val="PRECOMPTE REVALORISER"/>
      <sheetName val="COTISATION SDR"/>
      <sheetName val="PROVISION MATHEMATIQUE"/>
      <sheetName val="PM FIN DEC 2020"/>
      <sheetName val="PM FIN MARS 2021"/>
      <sheetName val="PM FIN JUIN 2021"/>
      <sheetName val="CALCULE RESILIATION"/>
      <sheetName val="ENCAISSEMENT SDR"/>
      <sheetName val="PRECOMPTE FIN JUIN 2021"/>
      <sheetName val="espece JUIN"/>
      <sheetName val="PRECOMPTE FIN SEPTEMBRE 2021"/>
      <sheetName val="PRECPTE EFFECTIF FIN SEPT 2021"/>
    </sheetNames>
    <sheetDataSet>
      <sheetData sheetId="0" refreshError="1"/>
      <sheetData sheetId="1">
        <row r="9">
          <cell r="D9">
            <v>44561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POTHESE ACTUARIELLE"/>
      <sheetName val="EVOLUTION SEPT21"/>
      <sheetName val="ETAT C20 A JOUR"/>
      <sheetName val="ETAT C20-2022"/>
      <sheetName val="PM 2022"/>
      <sheetName val="ETAT C20-2023"/>
      <sheetName val="ETAT Trim1-2023"/>
    </sheetNames>
    <sheetDataSet>
      <sheetData sheetId="0">
        <row r="4">
          <cell r="C4">
            <v>8.6374459977134332E-3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Balance"/>
      <sheetName val="Table_Correspondance "/>
      <sheetName val="TABLE_PASSIF"/>
      <sheetName val="TABLE_ACTIF"/>
      <sheetName val="TABLE_CHARGES_PRODUITS"/>
      <sheetName val="TABLE_TFT"/>
      <sheetName val="COUVERTURE"/>
      <sheetName val="GARDE"/>
      <sheetName val="RECEVABILITE"/>
      <sheetName val="NOTE36 (TABLE DES CODES)"/>
      <sheetName val="NOTE36 Suite (Nomenclature)"/>
      <sheetName val="FICHE R1"/>
      <sheetName val="FICHE R2"/>
      <sheetName val="FICHE R3"/>
      <sheetName val="BILAN"/>
      <sheetName val="ACTIF"/>
      <sheetName val="PASSIF"/>
      <sheetName val="RESULTAT"/>
      <sheetName val="TFT"/>
      <sheetName val="FICHE R4"/>
      <sheetName val="NOTE 1"/>
      <sheetName val="NOTE 2"/>
      <sheetName val="NOTE 3A"/>
      <sheetName val="NOTE 3B"/>
      <sheetName val="NOTE 3C"/>
      <sheetName val="NOTE 3C BIS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8B"/>
      <sheetName val="NOTE 8C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7"/>
      <sheetName val="NOTE 38"/>
      <sheetName val="NOTE 39"/>
      <sheetName val="GARDE (DGI-INS)"/>
      <sheetName val="NOTES DGI - INS"/>
      <sheetName val="COMP-CHARGES"/>
      <sheetName val="COMP-TVA"/>
      <sheetName val="COMP-TVA (2)"/>
      <sheetName val="SUPPL1"/>
      <sheetName val="SUPPL2"/>
      <sheetName val="SUPPL3"/>
      <sheetName val="SUPPL4"/>
      <sheetName val="SUPPL5"/>
      <sheetName val="SUPPL6"/>
      <sheetName val="SUPPL7"/>
      <sheetName val="GARDE (BIC) "/>
      <sheetName val="GARDE (BNC)"/>
      <sheetName val="GARDE (BA)"/>
      <sheetName val="GARDE (301)"/>
      <sheetName val="GARDE (302)"/>
      <sheetName val="GARDE(3)"/>
      <sheetName val="COMMENTAIRE"/>
    </sheetNames>
    <sheetDataSet>
      <sheetData sheetId="0"/>
      <sheetData sheetId="1"/>
      <sheetData sheetId="2">
        <row r="1">
          <cell r="A1" t="str">
            <v>Bilan</v>
          </cell>
          <cell r="B1">
            <v>51895404</v>
          </cell>
          <cell r="C1">
            <v>26479846</v>
          </cell>
          <cell r="E1" t="str">
            <v>Resulat bilan</v>
          </cell>
          <cell r="F1">
            <v>25415558</v>
          </cell>
          <cell r="H1">
            <v>267789</v>
          </cell>
          <cell r="I1">
            <v>7400639</v>
          </cell>
          <cell r="K1" t="str">
            <v>Resulat bilan</v>
          </cell>
          <cell r="L1">
            <v>-7132850</v>
          </cell>
        </row>
        <row r="2">
          <cell r="A2" t="str">
            <v>Gestion</v>
          </cell>
          <cell r="B2">
            <v>25152391</v>
          </cell>
          <cell r="C2">
            <v>50567949</v>
          </cell>
          <cell r="E2" t="str">
            <v>Resulat gestion</v>
          </cell>
          <cell r="F2">
            <v>25415558</v>
          </cell>
          <cell r="H2">
            <v>7132850</v>
          </cell>
          <cell r="I2">
            <v>0</v>
          </cell>
          <cell r="K2" t="str">
            <v>Resulat gestion</v>
          </cell>
          <cell r="L2">
            <v>-7132850</v>
          </cell>
        </row>
        <row r="3">
          <cell r="B3" t="str">
            <v>Automatqiue Exercice N</v>
          </cell>
          <cell r="C3">
            <v>0</v>
          </cell>
          <cell r="D3">
            <v>0</v>
          </cell>
          <cell r="E3" t="str">
            <v>Manuel Exercice N</v>
          </cell>
          <cell r="F3">
            <v>0</v>
          </cell>
          <cell r="G3">
            <v>0</v>
          </cell>
          <cell r="H3" t="str">
            <v>Automatqiue Exercice N-1</v>
          </cell>
          <cell r="I3">
            <v>0</v>
          </cell>
          <cell r="J3">
            <v>0</v>
          </cell>
          <cell r="K3" t="str">
            <v>Manuel Exercice N-1</v>
          </cell>
          <cell r="L3">
            <v>0</v>
          </cell>
        </row>
        <row r="4">
          <cell r="A4" t="str">
            <v>N° compte</v>
          </cell>
          <cell r="B4" t="str">
            <v xml:space="preserve">Debit </v>
          </cell>
          <cell r="C4" t="str">
            <v>Credit</v>
          </cell>
          <cell r="D4">
            <v>0</v>
          </cell>
          <cell r="E4" t="str">
            <v xml:space="preserve">Debit </v>
          </cell>
          <cell r="F4" t="str">
            <v>Credit</v>
          </cell>
          <cell r="G4">
            <v>0</v>
          </cell>
          <cell r="H4" t="str">
            <v xml:space="preserve">Debit </v>
          </cell>
          <cell r="I4" t="str">
            <v>Credit</v>
          </cell>
          <cell r="J4">
            <v>0</v>
          </cell>
          <cell r="K4" t="str">
            <v xml:space="preserve">Debit </v>
          </cell>
          <cell r="L4" t="str">
            <v>Credit</v>
          </cell>
        </row>
        <row r="5">
          <cell r="A5">
            <v>101100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1000000</v>
          </cell>
          <cell r="J5">
            <v>0</v>
          </cell>
          <cell r="K5">
            <v>0</v>
          </cell>
          <cell r="L5">
            <v>1000000</v>
          </cell>
        </row>
        <row r="6">
          <cell r="A6">
            <v>101200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>
            <v>101300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>
            <v>101400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101800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>
            <v>102100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>
            <v>102200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>
            <v>102800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>
            <v>103000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>
            <v>104100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A15">
            <v>104200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>
            <v>104300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A17">
            <v>104700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>
            <v>104800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>
            <v>105100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A20">
            <v>105200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A21">
            <v>105300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A22">
            <v>105400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>
            <v>105800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>
            <v>106100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>
            <v>106200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>
            <v>109000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>
            <v>111000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>
            <v>112000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A29">
            <v>113100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>
            <v>113200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>
            <v>113300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A32">
            <v>113400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A33">
            <v>113800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>
            <v>118100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>
            <v>118800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>
            <v>121000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>
            <v>129100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>
            <v>129200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A39">
            <v>141100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>
            <v>141200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>
            <v>141300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>
            <v>141400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>
            <v>141500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A44">
            <v>141600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A45">
            <v>141700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A46">
            <v>141800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A47">
            <v>148000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A48">
            <v>151000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A49">
            <v>152000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A50">
            <v>153000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A51">
            <v>154000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A52">
            <v>155000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>
            <v>156000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A54">
            <v>157000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>
            <v>158000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A56">
            <v>161000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>
            <v>162000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A58">
            <v>163000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A59">
            <v>164000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A60">
            <v>165100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A61">
            <v>165200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A62">
            <v>166000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>
            <v>167000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A64">
            <v>168000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A65">
            <v>172000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A66">
            <v>173000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A67">
            <v>174000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>
            <v>176000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>
            <v>178000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>
            <v>181100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A71">
            <v>181200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A72">
            <v>182000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A73">
            <v>183000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A74">
            <v>184000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A75">
            <v>185000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A76">
            <v>186000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A77">
            <v>187000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A78">
            <v>188000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A79">
            <v>191000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A80">
            <v>192000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A81">
            <v>193000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A82">
            <v>194000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A83">
            <v>195000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>
            <v>196100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A85">
            <v>196200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A86">
            <v>197000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A87">
            <v>198100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>
            <v>198300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A89">
            <v>198400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A90">
            <v>198500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A91">
            <v>198800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A92">
            <v>211000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150000</v>
          </cell>
          <cell r="I92">
            <v>0</v>
          </cell>
          <cell r="J92">
            <v>0</v>
          </cell>
          <cell r="K92">
            <v>150000</v>
          </cell>
          <cell r="L92">
            <v>0</v>
          </cell>
        </row>
        <row r="93">
          <cell r="A93">
            <v>212100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A94">
            <v>212200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A95">
            <v>212300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A96">
            <v>212800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A97">
            <v>213100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A98">
            <v>213200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A99">
            <v>214000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A100">
            <v>215000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</row>
        <row r="101">
          <cell r="A101">
            <v>216000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A102">
            <v>217000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A103">
            <v>218100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>
            <v>218200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A105">
            <v>218300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A106">
            <v>218400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>
            <v>218800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A108">
            <v>219100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>
            <v>219300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A110">
            <v>219800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A111">
            <v>221100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A112">
            <v>221200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A113">
            <v>221800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A114">
            <v>222100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A115">
            <v>222800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A116">
            <v>223100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A117">
            <v>223200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A118">
            <v>223400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A119">
            <v>223500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A120">
            <v>223800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A121">
            <v>224100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A122">
            <v>224500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A123">
            <v>224800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A124">
            <v>225100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A125">
            <v>226100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A126">
            <v>227000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A127">
            <v>228100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A128">
            <v>228500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A129">
            <v>228600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A130">
            <v>228800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A131">
            <v>229100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A132">
            <v>229200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A133">
            <v>229500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A134">
            <v>229800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A135">
            <v>231100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A136">
            <v>231200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A137">
            <v>231300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A138">
            <v>231400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A139">
            <v>231500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A140">
            <v>231600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A141">
            <v>232100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A142">
            <v>232200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A143">
            <v>232300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A144">
            <v>232400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A145">
            <v>232500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A146">
            <v>232600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</row>
        <row r="147">
          <cell r="A147">
            <v>233100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</row>
        <row r="148">
          <cell r="A148">
            <v>233200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>
            <v>233300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A150">
            <v>233400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>
            <v>233500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>
            <v>233800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>
            <v>234100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>
            <v>234200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>
            <v>234300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>
            <v>234400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A157">
            <v>234500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A158">
            <v>235100</v>
          </cell>
          <cell r="B158">
            <v>6450000</v>
          </cell>
          <cell r="C158">
            <v>0</v>
          </cell>
          <cell r="D158">
            <v>0</v>
          </cell>
          <cell r="E158">
            <v>6450000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A159">
            <v>235800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A160">
            <v>237000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A161">
            <v>238000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A162">
            <v>239100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A163">
            <v>239200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A164">
            <v>239300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>
            <v>239400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>
            <v>239500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>
            <v>239800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>
            <v>241100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A169">
            <v>241200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A170">
            <v>241300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A171">
            <v>241400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A172">
            <v>241600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A173">
            <v>242100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A174">
            <v>242200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A175">
            <v>242600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A176">
            <v>243000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>
            <v>244100</v>
          </cell>
          <cell r="B177">
            <v>850000</v>
          </cell>
          <cell r="C177">
            <v>0</v>
          </cell>
          <cell r="D177">
            <v>0</v>
          </cell>
          <cell r="E177">
            <v>850000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A178">
            <v>244200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A179">
            <v>244300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A180">
            <v>244400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A181">
            <v>244500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A182">
            <v>244600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>
            <v>244700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A184">
            <v>245100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>
            <v>245200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A186">
            <v>245300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>
            <v>245400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>
            <v>245500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A189">
            <v>245600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A190">
            <v>245700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A191">
            <v>245800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A192">
            <v>246100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A193">
            <v>246200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A194">
            <v>246300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A195">
            <v>246500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A196">
            <v>246800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A197">
            <v>247100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A198">
            <v>247200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A199">
            <v>247800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A200">
            <v>248100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A201">
            <v>248800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A202">
            <v>249100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A203">
            <v>249200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A204">
            <v>249300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A205">
            <v>249400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A206">
            <v>249500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A207">
            <v>249600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A208">
            <v>249700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A209">
            <v>249800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A210">
            <v>251000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A211">
            <v>252000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A212">
            <v>261000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A213">
            <v>262000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A214">
            <v>263000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A215">
            <v>265000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  <row r="216">
          <cell r="A216">
            <v>266000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</row>
        <row r="217">
          <cell r="A217">
            <v>268000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</row>
        <row r="218">
          <cell r="A218">
            <v>271100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</row>
        <row r="219">
          <cell r="A219">
            <v>271200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</row>
        <row r="220">
          <cell r="A220">
            <v>271300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</row>
        <row r="221">
          <cell r="A221">
            <v>271400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</row>
        <row r="222">
          <cell r="A222">
            <v>271500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</row>
        <row r="223">
          <cell r="A223">
            <v>271800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</row>
        <row r="224">
          <cell r="A224">
            <v>272100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</row>
        <row r="225">
          <cell r="A225">
            <v>272200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>
            <v>272800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</row>
        <row r="227">
          <cell r="A227">
            <v>273100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</row>
        <row r="228">
          <cell r="A228">
            <v>273300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</row>
        <row r="229">
          <cell r="A229">
            <v>273400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</row>
        <row r="230">
          <cell r="A230">
            <v>273800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</row>
        <row r="231">
          <cell r="A231">
            <v>274100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</row>
        <row r="232">
          <cell r="A232">
            <v>274200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</row>
        <row r="233">
          <cell r="A233">
            <v>274300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</row>
        <row r="234">
          <cell r="A234">
            <v>274400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</row>
        <row r="235">
          <cell r="A235">
            <v>274500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A236">
            <v>274600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</row>
        <row r="237">
          <cell r="A237">
            <v>274800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</row>
        <row r="238">
          <cell r="A238">
            <v>275100</v>
          </cell>
          <cell r="B238">
            <v>1992000</v>
          </cell>
          <cell r="C238">
            <v>0</v>
          </cell>
          <cell r="D238">
            <v>0</v>
          </cell>
          <cell r="E238">
            <v>1992000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</row>
        <row r="239">
          <cell r="A239">
            <v>275200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</row>
        <row r="240">
          <cell r="A240">
            <v>275300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</row>
        <row r="241">
          <cell r="A241">
            <v>275400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</row>
        <row r="242">
          <cell r="A242">
            <v>275500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A243">
            <v>275600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A244">
            <v>275700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>
            <v>275800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A246">
            <v>276100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</row>
        <row r="247">
          <cell r="A247">
            <v>276200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</row>
        <row r="248">
          <cell r="A248">
            <v>276300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</row>
        <row r="249">
          <cell r="A249">
            <v>276400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A250">
            <v>276500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</row>
        <row r="251">
          <cell r="A251">
            <v>276600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</row>
        <row r="252">
          <cell r="A252">
            <v>276700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</row>
        <row r="253">
          <cell r="A253">
            <v>276800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</row>
        <row r="254">
          <cell r="A254">
            <v>277100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</row>
        <row r="255">
          <cell r="A255">
            <v>277200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</row>
        <row r="256">
          <cell r="A256">
            <v>277300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</row>
        <row r="257">
          <cell r="A257">
            <v>277400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</row>
        <row r="258">
          <cell r="A258">
            <v>278100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</row>
        <row r="259">
          <cell r="A259">
            <v>278200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</row>
        <row r="260">
          <cell r="A260">
            <v>278400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</row>
        <row r="261">
          <cell r="A261">
            <v>278500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</row>
        <row r="262">
          <cell r="A262">
            <v>278800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</row>
        <row r="263">
          <cell r="A263">
            <v>281100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A264">
            <v>281200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</row>
        <row r="265">
          <cell r="A265">
            <v>281300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A266">
            <v>281400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</row>
        <row r="267">
          <cell r="A267">
            <v>281500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</row>
        <row r="268">
          <cell r="A268">
            <v>281600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</row>
        <row r="269">
          <cell r="A269">
            <v>281700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</row>
        <row r="270">
          <cell r="A270">
            <v>281800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>
            <v>282100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</row>
        <row r="272">
          <cell r="A272">
            <v>282200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</row>
        <row r="273">
          <cell r="A273">
            <v>283100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</row>
        <row r="274">
          <cell r="A274">
            <v>283110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</row>
        <row r="275">
          <cell r="A275">
            <v>283200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</row>
        <row r="276">
          <cell r="A276">
            <v>283300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</row>
        <row r="277">
          <cell r="A277">
            <v>283400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</row>
        <row r="278">
          <cell r="A278">
            <v>283500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</row>
        <row r="279">
          <cell r="A279">
            <v>283700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</row>
        <row r="280">
          <cell r="A280">
            <v>283800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</row>
        <row r="281">
          <cell r="A281">
            <v>284100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</row>
        <row r="282">
          <cell r="A282">
            <v>284200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</row>
        <row r="283">
          <cell r="A283">
            <v>284300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</row>
        <row r="284">
          <cell r="A284">
            <v>284410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A285">
            <v>284420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</row>
        <row r="286">
          <cell r="A286">
            <v>284500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</row>
        <row r="287">
          <cell r="A287">
            <v>284600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</row>
        <row r="288">
          <cell r="A288">
            <v>284700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</row>
        <row r="289">
          <cell r="A289">
            <v>284800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</row>
        <row r="290">
          <cell r="A290">
            <v>291100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</row>
        <row r="291">
          <cell r="A291">
            <v>291200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A292">
            <v>291300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</row>
        <row r="293">
          <cell r="A293">
            <v>291400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</row>
        <row r="294">
          <cell r="A294">
            <v>291500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</row>
        <row r="295">
          <cell r="A295">
            <v>291600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</row>
        <row r="296">
          <cell r="A296">
            <v>291700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</row>
        <row r="297">
          <cell r="A297">
            <v>291900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</row>
        <row r="298">
          <cell r="A298">
            <v>292000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A299">
            <v>292200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</row>
        <row r="300">
          <cell r="A300">
            <v>293100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</row>
        <row r="301">
          <cell r="A301">
            <v>293200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</row>
        <row r="302">
          <cell r="A302">
            <v>293300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</row>
        <row r="303">
          <cell r="A303">
            <v>293400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</row>
        <row r="304">
          <cell r="A304">
            <v>293500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</row>
        <row r="305">
          <cell r="A305">
            <v>293700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A306">
            <v>293800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</row>
        <row r="307">
          <cell r="A307">
            <v>293900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</row>
        <row r="308">
          <cell r="A308">
            <v>294100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</row>
        <row r="309">
          <cell r="A309">
            <v>294200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</row>
        <row r="310">
          <cell r="A310">
            <v>294300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</row>
        <row r="311">
          <cell r="A311">
            <v>294400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</row>
        <row r="312">
          <cell r="A312">
            <v>294500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A313">
            <v>294600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</row>
        <row r="314">
          <cell r="A314">
            <v>294700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</row>
        <row r="315">
          <cell r="A315">
            <v>294800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>
            <v>294900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</row>
        <row r="317">
          <cell r="A317">
            <v>295100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</row>
        <row r="318">
          <cell r="A318">
            <v>295200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</row>
        <row r="319">
          <cell r="A319">
            <v>296100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</row>
        <row r="320">
          <cell r="A320">
            <v>296200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</row>
        <row r="321">
          <cell r="A321">
            <v>296300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</row>
        <row r="322">
          <cell r="A322">
            <v>296500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</row>
        <row r="323">
          <cell r="A323">
            <v>296600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</row>
        <row r="324">
          <cell r="A324">
            <v>296800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</row>
        <row r="325">
          <cell r="A325">
            <v>297100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</row>
        <row r="326">
          <cell r="A326">
            <v>297200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</row>
        <row r="327">
          <cell r="A327">
            <v>297300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</row>
        <row r="328">
          <cell r="A328">
            <v>297400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</row>
        <row r="329">
          <cell r="A329">
            <v>297500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</row>
        <row r="330">
          <cell r="A330">
            <v>297700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</row>
        <row r="331">
          <cell r="A331">
            <v>297800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</row>
        <row r="332">
          <cell r="A332">
            <v>311100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A333">
            <v>311200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34">
          <cell r="A334">
            <v>312100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</row>
        <row r="335">
          <cell r="A335">
            <v>312200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</row>
        <row r="336">
          <cell r="A336">
            <v>313100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</row>
        <row r="337">
          <cell r="A337">
            <v>313200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</row>
        <row r="338">
          <cell r="A338">
            <v>318000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</row>
        <row r="339">
          <cell r="A339">
            <v>321000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A340">
            <v>322000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A341">
            <v>323000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</row>
        <row r="342">
          <cell r="A342">
            <v>331000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</row>
        <row r="343">
          <cell r="A343">
            <v>332000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</row>
        <row r="344">
          <cell r="A344">
            <v>333000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</row>
        <row r="345">
          <cell r="A345">
            <v>334000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</row>
        <row r="346">
          <cell r="A346">
            <v>335100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</row>
        <row r="347">
          <cell r="A347">
            <v>335200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A348">
            <v>335300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</row>
        <row r="349">
          <cell r="A349">
            <v>335800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</row>
        <row r="350">
          <cell r="A350">
            <v>338000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</row>
        <row r="351">
          <cell r="A351">
            <v>341100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</row>
        <row r="352">
          <cell r="A352">
            <v>341200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</row>
        <row r="353">
          <cell r="A353">
            <v>342100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</row>
        <row r="354">
          <cell r="A354">
            <v>342200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</row>
        <row r="355">
          <cell r="A355">
            <v>343100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</row>
        <row r="356">
          <cell r="A356">
            <v>343200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</row>
        <row r="357">
          <cell r="A357">
            <v>344100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</row>
        <row r="358">
          <cell r="A358">
            <v>344200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</row>
        <row r="359">
          <cell r="A359">
            <v>345100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</row>
        <row r="360">
          <cell r="A360">
            <v>345200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>
            <v>351100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</row>
        <row r="362">
          <cell r="A362">
            <v>351200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</row>
        <row r="363">
          <cell r="A363">
            <v>352100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</row>
        <row r="364">
          <cell r="A364">
            <v>352200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</row>
        <row r="365">
          <cell r="A365">
            <v>361000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</row>
        <row r="366">
          <cell r="A366">
            <v>362000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</row>
        <row r="367">
          <cell r="A367">
            <v>363100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A368">
            <v>363200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A369">
            <v>363800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</row>
        <row r="370">
          <cell r="A370">
            <v>371100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</row>
        <row r="371">
          <cell r="A371">
            <v>371200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</row>
        <row r="372">
          <cell r="A372">
            <v>372100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</row>
        <row r="373">
          <cell r="A373">
            <v>372200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</row>
        <row r="374">
          <cell r="A374">
            <v>372300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</row>
        <row r="375">
          <cell r="A375">
            <v>373100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A376">
            <v>373200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</row>
        <row r="377">
          <cell r="A377">
            <v>373800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</row>
        <row r="378">
          <cell r="A378">
            <v>381000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</row>
        <row r="379">
          <cell r="A379">
            <v>382000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</row>
        <row r="380">
          <cell r="A380">
            <v>383000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</row>
        <row r="381">
          <cell r="A381">
            <v>386000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</row>
        <row r="382">
          <cell r="A382">
            <v>387100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</row>
        <row r="383">
          <cell r="A383">
            <v>387200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</row>
        <row r="384">
          <cell r="A384">
            <v>388000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</row>
        <row r="385">
          <cell r="A385">
            <v>391000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</row>
        <row r="386">
          <cell r="A386">
            <v>392000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</row>
        <row r="387">
          <cell r="A387">
            <v>393000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</row>
        <row r="388">
          <cell r="A388">
            <v>394000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</row>
        <row r="389">
          <cell r="A389">
            <v>395000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</row>
        <row r="390">
          <cell r="A390">
            <v>396000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</row>
        <row r="391">
          <cell r="A391">
            <v>397000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</row>
        <row r="392">
          <cell r="A392">
            <v>398000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</row>
        <row r="393">
          <cell r="A393">
            <v>401100</v>
          </cell>
          <cell r="B393">
            <v>0</v>
          </cell>
          <cell r="C393">
            <v>1350000</v>
          </cell>
          <cell r="D393">
            <v>0</v>
          </cell>
          <cell r="E393">
            <v>0</v>
          </cell>
          <cell r="F393">
            <v>1350000</v>
          </cell>
          <cell r="G393">
            <v>0</v>
          </cell>
          <cell r="H393">
            <v>0</v>
          </cell>
          <cell r="I393">
            <v>6400639</v>
          </cell>
          <cell r="J393">
            <v>0</v>
          </cell>
          <cell r="K393">
            <v>0</v>
          </cell>
          <cell r="L393">
            <v>6400639</v>
          </cell>
        </row>
        <row r="394">
          <cell r="A394">
            <v>401200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</row>
        <row r="395">
          <cell r="A395">
            <v>401300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</row>
        <row r="396">
          <cell r="A396">
            <v>401600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</row>
        <row r="397">
          <cell r="A397">
            <v>401700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</row>
        <row r="398">
          <cell r="A398">
            <v>402100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</row>
        <row r="399">
          <cell r="A399">
            <v>402200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</row>
        <row r="400">
          <cell r="A400">
            <v>402300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</row>
        <row r="401">
          <cell r="A401">
            <v>404000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</row>
        <row r="402">
          <cell r="A402">
            <v>408100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</row>
        <row r="403">
          <cell r="A403">
            <v>408200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</row>
        <row r="404">
          <cell r="A404">
            <v>408300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</row>
        <row r="405">
          <cell r="A405">
            <v>408600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</row>
        <row r="406">
          <cell r="A406">
            <v>409100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</row>
        <row r="407">
          <cell r="A407">
            <v>409200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</row>
        <row r="408">
          <cell r="A408">
            <v>409300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</row>
        <row r="409">
          <cell r="A409">
            <v>409400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</row>
        <row r="410">
          <cell r="A410">
            <v>409800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</row>
        <row r="411">
          <cell r="A411">
            <v>411100</v>
          </cell>
          <cell r="B411">
            <v>24603800</v>
          </cell>
          <cell r="C411">
            <v>0</v>
          </cell>
          <cell r="D411">
            <v>0</v>
          </cell>
          <cell r="E411">
            <v>24603800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</row>
        <row r="412">
          <cell r="A412">
            <v>411200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</row>
        <row r="413">
          <cell r="A413">
            <v>411400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</row>
        <row r="414">
          <cell r="A414">
            <v>411500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</row>
        <row r="415">
          <cell r="A415">
            <v>411600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</row>
        <row r="416">
          <cell r="A416">
            <v>411700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</row>
        <row r="417">
          <cell r="A417">
            <v>411800</v>
          </cell>
          <cell r="B417">
            <v>1600000</v>
          </cell>
          <cell r="C417">
            <v>0</v>
          </cell>
          <cell r="D417">
            <v>0</v>
          </cell>
          <cell r="E417">
            <v>1600000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A418">
            <v>412100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</row>
        <row r="419">
          <cell r="A419">
            <v>412200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</row>
        <row r="420">
          <cell r="A420">
            <v>412400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</row>
        <row r="421">
          <cell r="A421">
            <v>412500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</row>
        <row r="422">
          <cell r="A422">
            <v>413100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</row>
        <row r="423">
          <cell r="A423">
            <v>413200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</row>
        <row r="424">
          <cell r="A424">
            <v>413300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</row>
        <row r="425">
          <cell r="A425">
            <v>413800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</row>
        <row r="426">
          <cell r="A426">
            <v>414100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</row>
        <row r="427">
          <cell r="A427">
            <v>414200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</row>
        <row r="428">
          <cell r="A428">
            <v>414600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</row>
        <row r="429">
          <cell r="A429">
            <v>414700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</row>
        <row r="430">
          <cell r="A430">
            <v>415000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</row>
        <row r="431">
          <cell r="A431">
            <v>416100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</row>
        <row r="432">
          <cell r="A432">
            <v>416200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</row>
        <row r="433">
          <cell r="A433">
            <v>418100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</row>
        <row r="434">
          <cell r="A434">
            <v>418600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</row>
        <row r="435">
          <cell r="A435">
            <v>419100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</row>
        <row r="436">
          <cell r="A436">
            <v>419200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</row>
        <row r="437">
          <cell r="A437">
            <v>419400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</row>
        <row r="438">
          <cell r="A438">
            <v>419800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</row>
        <row r="439">
          <cell r="A439">
            <v>421100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</row>
        <row r="440">
          <cell r="A440">
            <v>421200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</row>
        <row r="441">
          <cell r="A441">
            <v>421300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</row>
        <row r="442">
          <cell r="A442">
            <v>422000</v>
          </cell>
          <cell r="B442">
            <v>0</v>
          </cell>
          <cell r="C442">
            <v>3823920</v>
          </cell>
          <cell r="D442">
            <v>0</v>
          </cell>
          <cell r="E442">
            <v>0</v>
          </cell>
          <cell r="F442">
            <v>3823920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</row>
        <row r="443">
          <cell r="A443">
            <v>423100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</row>
        <row r="444">
          <cell r="A444">
            <v>423200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</row>
        <row r="445">
          <cell r="A445">
            <v>423300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</row>
        <row r="446">
          <cell r="A446">
            <v>424000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</row>
        <row r="447">
          <cell r="A447">
            <v>424100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</row>
        <row r="448">
          <cell r="A448">
            <v>424200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</row>
        <row r="449">
          <cell r="A449">
            <v>424500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</row>
        <row r="450">
          <cell r="A450">
            <v>424800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</row>
        <row r="451">
          <cell r="A451">
            <v>425000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</row>
        <row r="452">
          <cell r="A452">
            <v>425100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</row>
        <row r="453">
          <cell r="A453">
            <v>425200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</row>
        <row r="454">
          <cell r="A454">
            <v>425800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</row>
        <row r="455">
          <cell r="A455">
            <v>426000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</row>
        <row r="456">
          <cell r="A456">
            <v>426100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</row>
        <row r="457">
          <cell r="A457">
            <v>426400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</row>
        <row r="458">
          <cell r="A458">
            <v>427000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</row>
        <row r="459">
          <cell r="A459">
            <v>428100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</row>
        <row r="460">
          <cell r="A460">
            <v>428600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</row>
        <row r="461">
          <cell r="A461">
            <v>428700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</row>
        <row r="462">
          <cell r="A462">
            <v>431100</v>
          </cell>
          <cell r="B462">
            <v>0</v>
          </cell>
          <cell r="C462">
            <v>157150</v>
          </cell>
          <cell r="D462">
            <v>0</v>
          </cell>
          <cell r="E462">
            <v>0</v>
          </cell>
          <cell r="F462">
            <v>157150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</row>
        <row r="463">
          <cell r="A463">
            <v>431200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</row>
        <row r="464">
          <cell r="A464">
            <v>431300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</row>
        <row r="465">
          <cell r="A465">
            <v>431400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</row>
        <row r="466">
          <cell r="A466">
            <v>431800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</row>
        <row r="467">
          <cell r="A467">
            <v>432000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</row>
        <row r="468">
          <cell r="A468">
            <v>433100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</row>
        <row r="469">
          <cell r="A469">
            <v>433200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</row>
        <row r="470">
          <cell r="A470">
            <v>433300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</row>
        <row r="471">
          <cell r="A471">
            <v>438100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</row>
        <row r="472">
          <cell r="A472">
            <v>438200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</row>
        <row r="473">
          <cell r="A473">
            <v>438600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</row>
        <row r="474">
          <cell r="A474">
            <v>438700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</row>
        <row r="475">
          <cell r="A475">
            <v>441000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</row>
        <row r="476">
          <cell r="A476">
            <v>442100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</row>
        <row r="477">
          <cell r="A477">
            <v>442200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</row>
        <row r="478">
          <cell r="A478">
            <v>442300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</row>
        <row r="479">
          <cell r="A479">
            <v>442400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</row>
        <row r="480">
          <cell r="A480">
            <v>442600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</row>
        <row r="481">
          <cell r="A481">
            <v>442800</v>
          </cell>
          <cell r="B481">
            <v>0</v>
          </cell>
          <cell r="C481">
            <v>484417</v>
          </cell>
          <cell r="D481">
            <v>0</v>
          </cell>
          <cell r="E481">
            <v>0</v>
          </cell>
          <cell r="F481">
            <v>484417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</row>
        <row r="482">
          <cell r="A482">
            <v>443100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</row>
        <row r="483">
          <cell r="A483">
            <v>443200</v>
          </cell>
          <cell r="B483">
            <v>0</v>
          </cell>
          <cell r="C483">
            <v>2636703</v>
          </cell>
          <cell r="D483">
            <v>0</v>
          </cell>
          <cell r="E483">
            <v>0</v>
          </cell>
          <cell r="F483">
            <v>2636703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</row>
        <row r="484">
          <cell r="A484">
            <v>443300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</row>
        <row r="485">
          <cell r="A485">
            <v>443400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</row>
        <row r="486">
          <cell r="A486">
            <v>443500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</row>
        <row r="487">
          <cell r="A487">
            <v>444100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</row>
        <row r="488">
          <cell r="A488">
            <v>444900</v>
          </cell>
          <cell r="B488">
            <v>0</v>
          </cell>
          <cell r="C488">
            <v>5148297</v>
          </cell>
          <cell r="D488">
            <v>0</v>
          </cell>
          <cell r="E488">
            <v>0</v>
          </cell>
          <cell r="F488">
            <v>5148297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</row>
        <row r="489">
          <cell r="A489">
            <v>445000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</row>
        <row r="490">
          <cell r="A490">
            <v>445100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</row>
        <row r="491">
          <cell r="A491">
            <v>445200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</row>
        <row r="492">
          <cell r="A492">
            <v>445300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</row>
        <row r="493">
          <cell r="A493">
            <v>445400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</row>
        <row r="494">
          <cell r="A494">
            <v>445500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</row>
        <row r="495">
          <cell r="A495">
            <v>445600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</row>
        <row r="496">
          <cell r="A496">
            <v>446000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</row>
        <row r="497">
          <cell r="A497">
            <v>447100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</row>
        <row r="498">
          <cell r="A498">
            <v>447200</v>
          </cell>
          <cell r="B498">
            <v>0</v>
          </cell>
          <cell r="C498">
            <v>45480</v>
          </cell>
          <cell r="D498">
            <v>0</v>
          </cell>
          <cell r="E498">
            <v>0</v>
          </cell>
          <cell r="F498">
            <v>45480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</row>
        <row r="499">
          <cell r="A499">
            <v>447300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</row>
        <row r="500">
          <cell r="A500">
            <v>447400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</row>
        <row r="501">
          <cell r="A501">
            <v>447800</v>
          </cell>
          <cell r="B501">
            <v>0</v>
          </cell>
          <cell r="C501">
            <v>22000</v>
          </cell>
          <cell r="D501">
            <v>0</v>
          </cell>
          <cell r="E501">
            <v>0</v>
          </cell>
          <cell r="F501">
            <v>22000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</row>
        <row r="502">
          <cell r="A502">
            <v>448600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</row>
        <row r="503">
          <cell r="A503">
            <v>448700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</row>
        <row r="504">
          <cell r="A504">
            <v>449000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</row>
        <row r="505">
          <cell r="A505">
            <v>449100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</row>
        <row r="506">
          <cell r="A506">
            <v>449200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</row>
        <row r="507">
          <cell r="A507">
            <v>449300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</row>
        <row r="508">
          <cell r="A508">
            <v>449400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</row>
        <row r="509">
          <cell r="A509">
            <v>449500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</row>
        <row r="510">
          <cell r="A510">
            <v>449600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</row>
        <row r="511">
          <cell r="A511">
            <v>449700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</row>
        <row r="512">
          <cell r="A512">
            <v>449900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</row>
        <row r="513">
          <cell r="A513">
            <v>451000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</row>
        <row r="514">
          <cell r="A514">
            <v>452000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</row>
        <row r="515">
          <cell r="A515">
            <v>458000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</row>
        <row r="516">
          <cell r="A516">
            <v>458100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</row>
        <row r="517">
          <cell r="A517">
            <v>458200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</row>
        <row r="518">
          <cell r="A518">
            <v>461000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</row>
        <row r="519">
          <cell r="A519">
            <v>462100</v>
          </cell>
          <cell r="B519">
            <v>0</v>
          </cell>
          <cell r="C519">
            <v>12461879</v>
          </cell>
          <cell r="D519">
            <v>0</v>
          </cell>
          <cell r="E519">
            <v>0</v>
          </cell>
          <cell r="F519">
            <v>12461879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</row>
        <row r="520">
          <cell r="A520">
            <v>462600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</row>
        <row r="521">
          <cell r="A521">
            <v>463000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</row>
        <row r="522">
          <cell r="A522">
            <v>463100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</row>
        <row r="523">
          <cell r="A523">
            <v>465000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</row>
        <row r="524">
          <cell r="A524">
            <v>466000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</row>
        <row r="525">
          <cell r="A525">
            <v>467000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</row>
        <row r="526">
          <cell r="A526">
            <v>471000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</row>
        <row r="527">
          <cell r="A527">
            <v>471200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</row>
        <row r="528">
          <cell r="A528">
            <v>471300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</row>
        <row r="529">
          <cell r="A529">
            <v>471500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</row>
        <row r="530">
          <cell r="A530">
            <v>471600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</row>
        <row r="531">
          <cell r="A531">
            <v>472000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</row>
        <row r="532">
          <cell r="A532">
            <v>472600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</row>
        <row r="533">
          <cell r="A533">
            <v>473000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</row>
        <row r="534">
          <cell r="A534">
            <v>474000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</row>
        <row r="535">
          <cell r="A535">
            <v>475000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</row>
        <row r="536">
          <cell r="A536">
            <v>476000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</row>
        <row r="537">
          <cell r="A537">
            <v>477000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</row>
        <row r="538">
          <cell r="A538">
            <v>478000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</row>
        <row r="539">
          <cell r="A539">
            <v>479000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</row>
        <row r="540">
          <cell r="A540">
            <v>481100</v>
          </cell>
          <cell r="B540">
            <v>0</v>
          </cell>
          <cell r="C540">
            <v>350000</v>
          </cell>
          <cell r="D540">
            <v>0</v>
          </cell>
          <cell r="E540">
            <v>0</v>
          </cell>
          <cell r="F540">
            <v>350000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</row>
        <row r="541">
          <cell r="A541">
            <v>481200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</row>
        <row r="542">
          <cell r="A542">
            <v>481300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</row>
        <row r="543">
          <cell r="A543">
            <v>481600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</row>
        <row r="544">
          <cell r="A544">
            <v>481700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</row>
        <row r="545">
          <cell r="A545">
            <v>481800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</row>
        <row r="546">
          <cell r="A546">
            <v>482100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</row>
        <row r="547">
          <cell r="A547">
            <v>482200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</row>
        <row r="548">
          <cell r="A548">
            <v>484000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</row>
        <row r="549">
          <cell r="A549">
            <v>485100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</row>
        <row r="550">
          <cell r="A550">
            <v>485200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</row>
        <row r="551">
          <cell r="A551">
            <v>485300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</row>
        <row r="552">
          <cell r="A552">
            <v>485400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</row>
        <row r="553">
          <cell r="A553">
            <v>485500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</row>
        <row r="554">
          <cell r="A554">
            <v>485600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</row>
        <row r="555">
          <cell r="A555">
            <v>485700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</row>
        <row r="556">
          <cell r="A556">
            <v>485800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</row>
        <row r="557">
          <cell r="A557">
            <v>488000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</row>
        <row r="558">
          <cell r="A558">
            <v>490000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</row>
        <row r="559">
          <cell r="A559">
            <v>491100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</row>
        <row r="560">
          <cell r="A560">
            <v>491200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</row>
        <row r="561">
          <cell r="A561">
            <v>492000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</row>
        <row r="562">
          <cell r="A562">
            <v>493000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</row>
        <row r="563">
          <cell r="A563">
            <v>494000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</row>
        <row r="564">
          <cell r="A564">
            <v>495000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</row>
        <row r="565">
          <cell r="A565">
            <v>496200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</row>
        <row r="566">
          <cell r="A566">
            <v>496300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</row>
        <row r="567">
          <cell r="A567">
            <v>496600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</row>
        <row r="568">
          <cell r="A568">
            <v>497000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</row>
        <row r="569">
          <cell r="A569">
            <v>498500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</row>
        <row r="570">
          <cell r="A570">
            <v>498600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</row>
        <row r="571">
          <cell r="A571">
            <v>498800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</row>
        <row r="572">
          <cell r="A572">
            <v>499100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</row>
        <row r="573">
          <cell r="A573">
            <v>499700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</row>
        <row r="574">
          <cell r="A574">
            <v>499800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</row>
        <row r="575">
          <cell r="A575">
            <v>501000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</row>
        <row r="576">
          <cell r="A576">
            <v>502000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</row>
        <row r="577">
          <cell r="A577">
            <v>503000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</row>
        <row r="578">
          <cell r="A578">
            <v>504000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</row>
        <row r="579">
          <cell r="A579">
            <v>505000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</row>
        <row r="580">
          <cell r="A580">
            <v>506000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</row>
        <row r="581">
          <cell r="A581">
            <v>508000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</row>
        <row r="582">
          <cell r="A582">
            <v>511000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</row>
        <row r="583">
          <cell r="A583">
            <v>512000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</row>
        <row r="584">
          <cell r="A584">
            <v>513000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</row>
        <row r="585">
          <cell r="A585">
            <v>514000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</row>
        <row r="586">
          <cell r="A586">
            <v>515000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</row>
        <row r="587">
          <cell r="A587">
            <v>518000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</row>
        <row r="588">
          <cell r="A588">
            <v>521000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117789</v>
          </cell>
          <cell r="I588">
            <v>0</v>
          </cell>
          <cell r="J588">
            <v>0</v>
          </cell>
          <cell r="K588">
            <v>117789</v>
          </cell>
          <cell r="L588">
            <v>0</v>
          </cell>
        </row>
        <row r="589">
          <cell r="A589">
            <v>521100</v>
          </cell>
          <cell r="B589">
            <v>16399604</v>
          </cell>
          <cell r="C589">
            <v>0</v>
          </cell>
          <cell r="D589">
            <v>0</v>
          </cell>
          <cell r="E589">
            <v>16399604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</row>
        <row r="590">
          <cell r="A590">
            <v>521500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</row>
        <row r="591">
          <cell r="A591">
            <v>522000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</row>
        <row r="592">
          <cell r="A592">
            <v>523000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</row>
        <row r="593">
          <cell r="A593">
            <v>524000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</row>
        <row r="594">
          <cell r="A594">
            <v>525000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</row>
        <row r="595">
          <cell r="A595">
            <v>526000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</row>
        <row r="596">
          <cell r="A596">
            <v>531000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</row>
        <row r="597">
          <cell r="A597">
            <v>532000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</row>
        <row r="598">
          <cell r="A598">
            <v>533000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</row>
        <row r="599">
          <cell r="A599">
            <v>536000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</row>
        <row r="600">
          <cell r="A600">
            <v>538000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</row>
        <row r="601">
          <cell r="A601">
            <v>541000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</row>
        <row r="602">
          <cell r="A602">
            <v>542000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</row>
        <row r="603">
          <cell r="A603">
            <v>543000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</row>
        <row r="604">
          <cell r="A604">
            <v>544000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</row>
        <row r="605">
          <cell r="A605">
            <v>545000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</row>
        <row r="606">
          <cell r="A606">
            <v>551000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</row>
        <row r="607">
          <cell r="A607">
            <v>552000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</row>
        <row r="608">
          <cell r="A608">
            <v>553000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</row>
        <row r="609">
          <cell r="A609">
            <v>554000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</row>
        <row r="610">
          <cell r="A610">
            <v>558000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</row>
        <row r="611">
          <cell r="A611">
            <v>561000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</row>
        <row r="612">
          <cell r="A612">
            <v>564000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</row>
        <row r="613">
          <cell r="A613">
            <v>565000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</row>
        <row r="614">
          <cell r="A614">
            <v>566000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</row>
        <row r="615">
          <cell r="A615">
            <v>571100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</row>
        <row r="616">
          <cell r="A616">
            <v>571200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</row>
        <row r="617">
          <cell r="A617">
            <v>572000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</row>
        <row r="618">
          <cell r="A618">
            <v>573000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</row>
        <row r="619">
          <cell r="A619">
            <v>581000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</row>
        <row r="620">
          <cell r="A620">
            <v>582000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</row>
        <row r="621">
          <cell r="A621">
            <v>590000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</row>
        <row r="622">
          <cell r="A622">
            <v>591000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</row>
        <row r="623">
          <cell r="A623">
            <v>592000</v>
          </cell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</row>
        <row r="624">
          <cell r="A624">
            <v>593000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</row>
        <row r="625">
          <cell r="A625">
            <v>594000</v>
          </cell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</row>
        <row r="626">
          <cell r="A626">
            <v>599000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</row>
        <row r="627">
          <cell r="A627">
            <v>601100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</row>
        <row r="628">
          <cell r="A628">
            <v>601200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</row>
        <row r="629">
          <cell r="A629">
            <v>601300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</row>
        <row r="630">
          <cell r="A630">
            <v>601400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</row>
        <row r="631">
          <cell r="A631">
            <v>601500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</row>
        <row r="632">
          <cell r="A632">
            <v>601900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</row>
        <row r="633">
          <cell r="A633">
            <v>602100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</row>
        <row r="634">
          <cell r="A634">
            <v>602200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</row>
        <row r="635">
          <cell r="A635">
            <v>602300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</row>
        <row r="636">
          <cell r="A636">
            <v>602400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</row>
        <row r="637">
          <cell r="A637">
            <v>602500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</row>
        <row r="638">
          <cell r="A638">
            <v>602900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</row>
        <row r="639">
          <cell r="A639">
            <v>603100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</row>
        <row r="640">
          <cell r="A640">
            <v>603200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</row>
        <row r="641">
          <cell r="A641">
            <v>603300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</row>
        <row r="642">
          <cell r="A642">
            <v>604100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</row>
        <row r="643">
          <cell r="A643">
            <v>604200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</row>
        <row r="644">
          <cell r="A644">
            <v>604300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</row>
        <row r="645">
          <cell r="A645">
            <v>604400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</row>
        <row r="646">
          <cell r="A646">
            <v>604500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</row>
        <row r="647">
          <cell r="A647">
            <v>604600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</row>
        <row r="648">
          <cell r="A648">
            <v>604700</v>
          </cell>
          <cell r="B648">
            <v>528800</v>
          </cell>
          <cell r="C648">
            <v>0</v>
          </cell>
          <cell r="D648">
            <v>0</v>
          </cell>
          <cell r="E648">
            <v>528800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</row>
        <row r="649">
          <cell r="A649">
            <v>604900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</row>
        <row r="650">
          <cell r="A650">
            <v>605100</v>
          </cell>
          <cell r="B650">
            <v>7304</v>
          </cell>
          <cell r="C650">
            <v>0</v>
          </cell>
          <cell r="D650">
            <v>0</v>
          </cell>
          <cell r="E650">
            <v>7304</v>
          </cell>
          <cell r="F650">
            <v>0</v>
          </cell>
          <cell r="G650">
            <v>0</v>
          </cell>
          <cell r="H650">
            <v>910350</v>
          </cell>
          <cell r="I650">
            <v>0</v>
          </cell>
          <cell r="J650">
            <v>0</v>
          </cell>
          <cell r="K650">
            <v>910350</v>
          </cell>
          <cell r="L650">
            <v>0</v>
          </cell>
        </row>
        <row r="651">
          <cell r="A651">
            <v>605200</v>
          </cell>
          <cell r="B651">
            <v>87530</v>
          </cell>
          <cell r="C651">
            <v>0</v>
          </cell>
          <cell r="D651">
            <v>0</v>
          </cell>
          <cell r="E651">
            <v>87530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</row>
        <row r="652">
          <cell r="A652">
            <v>605300</v>
          </cell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</row>
        <row r="653">
          <cell r="A653">
            <v>605400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</row>
        <row r="654">
          <cell r="A654">
            <v>605500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</row>
        <row r="655">
          <cell r="A655">
            <v>605600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</row>
        <row r="656">
          <cell r="A656">
            <v>605700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</row>
        <row r="657">
          <cell r="A657">
            <v>605800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</row>
        <row r="658">
          <cell r="A658">
            <v>605900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</row>
        <row r="659">
          <cell r="A659">
            <v>608100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</row>
        <row r="660">
          <cell r="A660">
            <v>608200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</row>
        <row r="661">
          <cell r="A661">
            <v>608300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</row>
        <row r="662">
          <cell r="A662">
            <v>608500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</row>
        <row r="663">
          <cell r="A663">
            <v>608900</v>
          </cell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</row>
        <row r="664">
          <cell r="A664">
            <v>612000</v>
          </cell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</row>
        <row r="665">
          <cell r="A665">
            <v>613000</v>
          </cell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</row>
        <row r="666">
          <cell r="A666">
            <v>614000</v>
          </cell>
          <cell r="B666">
            <v>600000</v>
          </cell>
          <cell r="C666">
            <v>0</v>
          </cell>
          <cell r="D666">
            <v>0</v>
          </cell>
          <cell r="E666">
            <v>600000</v>
          </cell>
          <cell r="F666">
            <v>0</v>
          </cell>
          <cell r="G666">
            <v>0</v>
          </cell>
          <cell r="H666">
            <v>1897509</v>
          </cell>
          <cell r="I666">
            <v>0</v>
          </cell>
          <cell r="J666">
            <v>0</v>
          </cell>
          <cell r="K666">
            <v>1897509</v>
          </cell>
          <cell r="L666">
            <v>0</v>
          </cell>
        </row>
        <row r="667">
          <cell r="A667">
            <v>616000</v>
          </cell>
          <cell r="B667">
            <v>455000</v>
          </cell>
          <cell r="C667">
            <v>0</v>
          </cell>
          <cell r="D667">
            <v>0</v>
          </cell>
          <cell r="E667">
            <v>455000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</row>
        <row r="668">
          <cell r="A668">
            <v>618100</v>
          </cell>
          <cell r="B668">
            <v>4013461</v>
          </cell>
          <cell r="C668">
            <v>0</v>
          </cell>
          <cell r="D668">
            <v>0</v>
          </cell>
          <cell r="E668">
            <v>4013461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</row>
        <row r="669">
          <cell r="A669">
            <v>618200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</row>
        <row r="670">
          <cell r="A670">
            <v>618300</v>
          </cell>
          <cell r="B670">
            <v>604000</v>
          </cell>
          <cell r="C670">
            <v>0</v>
          </cell>
          <cell r="D670">
            <v>0</v>
          </cell>
          <cell r="E670">
            <v>604000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</row>
        <row r="671">
          <cell r="A671">
            <v>621000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</row>
        <row r="672">
          <cell r="A672">
            <v>622100</v>
          </cell>
          <cell r="B672">
            <v>3552082</v>
          </cell>
          <cell r="C672">
            <v>0</v>
          </cell>
          <cell r="D672">
            <v>0</v>
          </cell>
          <cell r="E672">
            <v>3552082</v>
          </cell>
          <cell r="F672">
            <v>0</v>
          </cell>
          <cell r="G672">
            <v>0</v>
          </cell>
          <cell r="H672">
            <v>1653391</v>
          </cell>
          <cell r="I672">
            <v>0</v>
          </cell>
          <cell r="J672">
            <v>0</v>
          </cell>
          <cell r="K672">
            <v>1653391</v>
          </cell>
          <cell r="L672">
            <v>0</v>
          </cell>
        </row>
        <row r="673">
          <cell r="A673">
            <v>622200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</row>
        <row r="674">
          <cell r="A674">
            <v>622300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</row>
        <row r="675">
          <cell r="A675">
            <v>622400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</row>
        <row r="676">
          <cell r="A676">
            <v>622500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</row>
        <row r="677">
          <cell r="A677">
            <v>622600</v>
          </cell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</row>
        <row r="678">
          <cell r="A678">
            <v>622800</v>
          </cell>
          <cell r="B678">
            <v>744000</v>
          </cell>
          <cell r="C678">
            <v>0</v>
          </cell>
          <cell r="D678">
            <v>0</v>
          </cell>
          <cell r="E678">
            <v>744000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</row>
        <row r="679">
          <cell r="A679">
            <v>623200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</row>
        <row r="680">
          <cell r="A680">
            <v>623300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</row>
        <row r="681">
          <cell r="A681">
            <v>623400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</row>
        <row r="682">
          <cell r="A682">
            <v>623800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</row>
        <row r="683">
          <cell r="A683">
            <v>624100</v>
          </cell>
          <cell r="B683">
            <v>120000</v>
          </cell>
          <cell r="C683">
            <v>0</v>
          </cell>
          <cell r="D683">
            <v>0</v>
          </cell>
          <cell r="E683">
            <v>120000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</row>
        <row r="684">
          <cell r="A684">
            <v>624200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</row>
        <row r="685">
          <cell r="A685">
            <v>624300</v>
          </cell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</row>
        <row r="686">
          <cell r="A686">
            <v>624400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</row>
        <row r="687">
          <cell r="A687">
            <v>624800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</row>
        <row r="688">
          <cell r="A688">
            <v>625100</v>
          </cell>
          <cell r="B688">
            <v>629270</v>
          </cell>
          <cell r="C688">
            <v>0</v>
          </cell>
          <cell r="D688">
            <v>0</v>
          </cell>
          <cell r="E688">
            <v>629270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</row>
        <row r="689">
          <cell r="A689">
            <v>625200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</row>
        <row r="690">
          <cell r="A690">
            <v>625300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</row>
        <row r="691">
          <cell r="A691">
            <v>625400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</row>
        <row r="692">
          <cell r="A692">
            <v>625500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</row>
        <row r="693">
          <cell r="A693">
            <v>625700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</row>
        <row r="694">
          <cell r="A694">
            <v>625800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</row>
        <row r="695">
          <cell r="A695">
            <v>626100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</row>
        <row r="696">
          <cell r="A696">
            <v>626500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</row>
        <row r="697">
          <cell r="A697">
            <v>626600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</row>
        <row r="698">
          <cell r="A698">
            <v>627100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</row>
        <row r="699">
          <cell r="A699">
            <v>627200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</row>
        <row r="700">
          <cell r="A700">
            <v>627300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</row>
        <row r="701">
          <cell r="A701">
            <v>627400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</row>
        <row r="702">
          <cell r="A702">
            <v>627500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</row>
        <row r="703">
          <cell r="A703">
            <v>627600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</row>
        <row r="704">
          <cell r="A704">
            <v>627700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</row>
        <row r="705">
          <cell r="A705">
            <v>627800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</row>
        <row r="706">
          <cell r="A706">
            <v>628100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</row>
        <row r="707">
          <cell r="A707">
            <v>628200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</row>
        <row r="708">
          <cell r="A708">
            <v>628300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</row>
        <row r="709">
          <cell r="A709">
            <v>628800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</row>
        <row r="710">
          <cell r="A710">
            <v>631100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</row>
        <row r="711">
          <cell r="A711">
            <v>631200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</row>
        <row r="712">
          <cell r="A712">
            <v>631300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</row>
        <row r="713">
          <cell r="A713">
            <v>631400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</row>
        <row r="714">
          <cell r="A714">
            <v>631500</v>
          </cell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</row>
        <row r="715">
          <cell r="A715">
            <v>631600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</row>
        <row r="716">
          <cell r="A716">
            <v>631700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</row>
        <row r="717">
          <cell r="A717">
            <v>631800</v>
          </cell>
          <cell r="B717">
            <v>133155</v>
          </cell>
          <cell r="C717">
            <v>0</v>
          </cell>
          <cell r="D717">
            <v>0</v>
          </cell>
          <cell r="E717">
            <v>133155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</row>
        <row r="718">
          <cell r="A718">
            <v>632200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</row>
        <row r="719">
          <cell r="A719">
            <v>632400</v>
          </cell>
          <cell r="B719">
            <v>7977150</v>
          </cell>
          <cell r="C719">
            <v>0</v>
          </cell>
          <cell r="D719">
            <v>0</v>
          </cell>
          <cell r="E719">
            <v>7977150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</row>
        <row r="720">
          <cell r="A720">
            <v>632500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</row>
        <row r="721">
          <cell r="A721">
            <v>632600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</row>
        <row r="722">
          <cell r="A722">
            <v>632700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</row>
        <row r="723">
          <cell r="A723">
            <v>632800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</row>
        <row r="724">
          <cell r="A724">
            <v>633000</v>
          </cell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2671600</v>
          </cell>
          <cell r="I724">
            <v>0</v>
          </cell>
          <cell r="J724">
            <v>0</v>
          </cell>
          <cell r="K724">
            <v>2671600</v>
          </cell>
          <cell r="L724">
            <v>0</v>
          </cell>
        </row>
        <row r="725">
          <cell r="A725">
            <v>634200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</row>
        <row r="726">
          <cell r="A726">
            <v>634300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</row>
        <row r="727">
          <cell r="A727">
            <v>634400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</row>
        <row r="728">
          <cell r="A728">
            <v>634500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</row>
        <row r="729">
          <cell r="A729">
            <v>634600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</row>
        <row r="730">
          <cell r="A730">
            <v>635100</v>
          </cell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</row>
        <row r="731">
          <cell r="A731">
            <v>635800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</row>
        <row r="732">
          <cell r="A732">
            <v>637100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</row>
        <row r="733">
          <cell r="A733">
            <v>637200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</row>
        <row r="734">
          <cell r="A734">
            <v>638100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</row>
        <row r="735">
          <cell r="A735">
            <v>638200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</row>
        <row r="736">
          <cell r="A736">
            <v>638300</v>
          </cell>
          <cell r="B736">
            <v>367830</v>
          </cell>
          <cell r="C736">
            <v>0</v>
          </cell>
          <cell r="D736">
            <v>0</v>
          </cell>
          <cell r="E736">
            <v>367830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</row>
        <row r="737">
          <cell r="A737">
            <v>638400</v>
          </cell>
          <cell r="B737">
            <v>1173942</v>
          </cell>
          <cell r="C737">
            <v>0</v>
          </cell>
          <cell r="D737">
            <v>0</v>
          </cell>
          <cell r="E737">
            <v>1173942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</row>
        <row r="738">
          <cell r="A738">
            <v>638500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</row>
        <row r="739">
          <cell r="A739">
            <v>638800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</row>
        <row r="740">
          <cell r="A740">
            <v>641100</v>
          </cell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</row>
        <row r="741">
          <cell r="A741">
            <v>641200</v>
          </cell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</row>
        <row r="742">
          <cell r="A742">
            <v>641300</v>
          </cell>
          <cell r="B742">
            <v>43200</v>
          </cell>
          <cell r="C742">
            <v>0</v>
          </cell>
          <cell r="D742">
            <v>0</v>
          </cell>
          <cell r="E742">
            <v>43200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</row>
        <row r="743">
          <cell r="A743">
            <v>641400</v>
          </cell>
          <cell r="B743">
            <v>14400</v>
          </cell>
          <cell r="C743">
            <v>0</v>
          </cell>
          <cell r="D743">
            <v>0</v>
          </cell>
          <cell r="E743">
            <v>14400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</row>
        <row r="744">
          <cell r="A744">
            <v>641500</v>
          </cell>
          <cell r="B744">
            <v>43200</v>
          </cell>
          <cell r="C744">
            <v>0</v>
          </cell>
          <cell r="D744">
            <v>0</v>
          </cell>
          <cell r="E744">
            <v>43200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</row>
        <row r="745">
          <cell r="A745">
            <v>641800</v>
          </cell>
          <cell r="B745">
            <v>50567</v>
          </cell>
          <cell r="C745">
            <v>0</v>
          </cell>
          <cell r="D745">
            <v>0</v>
          </cell>
          <cell r="E745">
            <v>50567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</row>
        <row r="746">
          <cell r="A746">
            <v>645000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</row>
        <row r="747">
          <cell r="A747">
            <v>646100</v>
          </cell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</row>
        <row r="748">
          <cell r="A748">
            <v>646200</v>
          </cell>
          <cell r="B748">
            <v>100</v>
          </cell>
          <cell r="C748">
            <v>0</v>
          </cell>
          <cell r="D748">
            <v>0</v>
          </cell>
          <cell r="E748">
            <v>100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</row>
        <row r="749">
          <cell r="A749">
            <v>646300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</row>
        <row r="750">
          <cell r="A750">
            <v>646400</v>
          </cell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</row>
        <row r="751">
          <cell r="A751">
            <v>646800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</row>
        <row r="752">
          <cell r="A752">
            <v>647100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</row>
        <row r="753">
          <cell r="A753">
            <v>647200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</row>
        <row r="754">
          <cell r="A754">
            <v>647300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</row>
        <row r="755">
          <cell r="A755">
            <v>647400</v>
          </cell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</row>
        <row r="756">
          <cell r="A756">
            <v>647800</v>
          </cell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</row>
        <row r="757">
          <cell r="A757">
            <v>648000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</row>
        <row r="758">
          <cell r="A758">
            <v>651100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</row>
        <row r="759">
          <cell r="A759">
            <v>651500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</row>
        <row r="760">
          <cell r="A760">
            <v>652100</v>
          </cell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</row>
        <row r="761">
          <cell r="A761">
            <v>652500</v>
          </cell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</row>
        <row r="762">
          <cell r="A762">
            <v>654100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</row>
        <row r="763">
          <cell r="A763">
            <v>654200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</row>
        <row r="764">
          <cell r="A764">
            <v>656000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</row>
        <row r="765">
          <cell r="A765">
            <v>657000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</row>
        <row r="766">
          <cell r="A766">
            <v>658100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</row>
        <row r="767">
          <cell r="A767">
            <v>658200</v>
          </cell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</row>
        <row r="768">
          <cell r="A768">
            <v>658300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</row>
        <row r="769">
          <cell r="A769">
            <v>658800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</row>
        <row r="770">
          <cell r="A770">
            <v>659100</v>
          </cell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</row>
        <row r="771">
          <cell r="A771">
            <v>659300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</row>
        <row r="772">
          <cell r="A772">
            <v>659400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</row>
        <row r="773">
          <cell r="A773">
            <v>659800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</row>
        <row r="774">
          <cell r="A774">
            <v>661100</v>
          </cell>
          <cell r="B774">
            <v>1800000</v>
          </cell>
          <cell r="C774">
            <v>0</v>
          </cell>
          <cell r="D774">
            <v>0</v>
          </cell>
          <cell r="E774">
            <v>1800000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</row>
        <row r="775">
          <cell r="A775">
            <v>661200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</row>
        <row r="776">
          <cell r="A776">
            <v>661300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</row>
        <row r="777">
          <cell r="A777">
            <v>661400</v>
          </cell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</row>
        <row r="778">
          <cell r="A778">
            <v>661500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</row>
        <row r="779">
          <cell r="A779">
            <v>661600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</row>
        <row r="780">
          <cell r="A780">
            <v>661700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</row>
        <row r="781">
          <cell r="A781">
            <v>661800</v>
          </cell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</row>
        <row r="782">
          <cell r="A782">
            <v>662100</v>
          </cell>
          <cell r="B782">
            <v>1800000</v>
          </cell>
          <cell r="C782">
            <v>0</v>
          </cell>
          <cell r="D782">
            <v>0</v>
          </cell>
          <cell r="E782">
            <v>1800000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</row>
        <row r="783">
          <cell r="A783">
            <v>662200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</row>
        <row r="784">
          <cell r="A784">
            <v>662300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</row>
        <row r="785">
          <cell r="A785">
            <v>662400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</row>
        <row r="786">
          <cell r="A786">
            <v>662500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</row>
        <row r="787">
          <cell r="A787">
            <v>662600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</row>
        <row r="788">
          <cell r="A788">
            <v>662700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</row>
        <row r="789">
          <cell r="A789">
            <v>662800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</row>
        <row r="790">
          <cell r="A790">
            <v>663100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</row>
        <row r="791">
          <cell r="A791">
            <v>663200</v>
          </cell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</row>
        <row r="792">
          <cell r="A792">
            <v>663300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</row>
        <row r="793">
          <cell r="A793">
            <v>663400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</row>
        <row r="794">
          <cell r="A794">
            <v>663800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</row>
        <row r="795">
          <cell r="A795">
            <v>664100</v>
          </cell>
          <cell r="B795">
            <v>407400</v>
          </cell>
          <cell r="C795">
            <v>0</v>
          </cell>
          <cell r="D795">
            <v>0</v>
          </cell>
          <cell r="E795">
            <v>407400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</row>
        <row r="796">
          <cell r="A796">
            <v>664200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</row>
        <row r="797">
          <cell r="A797">
            <v>666100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</row>
        <row r="798">
          <cell r="A798">
            <v>666200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</row>
        <row r="799">
          <cell r="A799">
            <v>667100</v>
          </cell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</row>
        <row r="800">
          <cell r="A800">
            <v>667200</v>
          </cell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</row>
        <row r="801">
          <cell r="A801">
            <v>668100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</row>
        <row r="802">
          <cell r="A802">
            <v>668200</v>
          </cell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</row>
        <row r="803">
          <cell r="A803">
            <v>668300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</row>
        <row r="804">
          <cell r="A804">
            <v>668400</v>
          </cell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</row>
        <row r="805">
          <cell r="A805">
            <v>668500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</row>
        <row r="806">
          <cell r="A806">
            <v>668600</v>
          </cell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</row>
        <row r="807">
          <cell r="A807">
            <v>668700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</row>
        <row r="808">
          <cell r="A808">
            <v>668800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</row>
        <row r="809">
          <cell r="A809">
            <v>671100</v>
          </cell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</row>
        <row r="810">
          <cell r="A810">
            <v>671200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</row>
        <row r="811">
          <cell r="A811">
            <v>671300</v>
          </cell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</row>
        <row r="812">
          <cell r="A812">
            <v>671400</v>
          </cell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</row>
        <row r="813">
          <cell r="A813">
            <v>672200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</row>
        <row r="814">
          <cell r="A814">
            <v>672300</v>
          </cell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</row>
        <row r="815">
          <cell r="A815">
            <v>672400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</row>
        <row r="816">
          <cell r="A816">
            <v>672800</v>
          </cell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</row>
        <row r="817">
          <cell r="A817">
            <v>673000</v>
          </cell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</row>
        <row r="818">
          <cell r="A818">
            <v>674100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</row>
        <row r="819">
          <cell r="A819">
            <v>674200</v>
          </cell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</row>
        <row r="820">
          <cell r="A820">
            <v>674300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</row>
        <row r="821">
          <cell r="A821">
            <v>674400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</row>
        <row r="822">
          <cell r="A822">
            <v>674500</v>
          </cell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</row>
        <row r="823">
          <cell r="A823">
            <v>674800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</row>
        <row r="824">
          <cell r="A824">
            <v>675000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</row>
        <row r="825">
          <cell r="A825">
            <v>676000</v>
          </cell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</row>
        <row r="826">
          <cell r="A826">
            <v>677100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</row>
        <row r="827">
          <cell r="A827">
            <v>677200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</row>
        <row r="828">
          <cell r="A828">
            <v>678100</v>
          </cell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</row>
        <row r="829">
          <cell r="A829">
            <v>678200</v>
          </cell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</row>
        <row r="830">
          <cell r="A830">
            <v>678400</v>
          </cell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</row>
        <row r="831">
          <cell r="A831">
            <v>679100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</row>
        <row r="832">
          <cell r="A832">
            <v>679500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</row>
        <row r="833">
          <cell r="A833">
            <v>679510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</row>
        <row r="834">
          <cell r="A834">
            <v>679520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</row>
        <row r="835">
          <cell r="A835">
            <v>679800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</row>
        <row r="836">
          <cell r="A836">
            <v>681200</v>
          </cell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</row>
        <row r="837">
          <cell r="A837">
            <v>681300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</row>
        <row r="838">
          <cell r="A838">
            <v>691100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</row>
        <row r="839">
          <cell r="A839">
            <v>691300</v>
          </cell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</row>
        <row r="840">
          <cell r="A840">
            <v>691400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</row>
        <row r="841">
          <cell r="A841">
            <v>697100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</row>
        <row r="842">
          <cell r="A842">
            <v>697200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</row>
        <row r="843">
          <cell r="A843">
            <v>701100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</row>
        <row r="844">
          <cell r="A844">
            <v>701200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</row>
        <row r="845">
          <cell r="A845">
            <v>701300</v>
          </cell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</row>
        <row r="846">
          <cell r="A846">
            <v>701400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</row>
        <row r="847">
          <cell r="A847">
            <v>701500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</row>
        <row r="848">
          <cell r="A848">
            <v>701900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</row>
        <row r="849">
          <cell r="A849">
            <v>702100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</row>
        <row r="850">
          <cell r="A850">
            <v>702200</v>
          </cell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</row>
        <row r="851">
          <cell r="A851">
            <v>702300</v>
          </cell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</row>
        <row r="852">
          <cell r="A852">
            <v>702400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</row>
        <row r="853">
          <cell r="A853">
            <v>702500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</row>
        <row r="854">
          <cell r="A854">
            <v>702910</v>
          </cell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</row>
        <row r="855">
          <cell r="A855">
            <v>702920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</row>
        <row r="856">
          <cell r="A856">
            <v>703100</v>
          </cell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</row>
        <row r="857">
          <cell r="A857">
            <v>703200</v>
          </cell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</row>
        <row r="858">
          <cell r="A858">
            <v>703300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</row>
        <row r="859">
          <cell r="A859">
            <v>703400</v>
          </cell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</row>
        <row r="860">
          <cell r="A860">
            <v>703500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</row>
        <row r="861">
          <cell r="A861">
            <v>703900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</row>
        <row r="862">
          <cell r="A862">
            <v>704100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</row>
        <row r="863">
          <cell r="A863">
            <v>704200</v>
          </cell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</row>
        <row r="864">
          <cell r="A864">
            <v>704300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</row>
        <row r="865">
          <cell r="A865">
            <v>704400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</row>
        <row r="866">
          <cell r="A866">
            <v>704500</v>
          </cell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</row>
        <row r="867">
          <cell r="A867">
            <v>704900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</row>
        <row r="868">
          <cell r="A868">
            <v>705100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</row>
        <row r="869">
          <cell r="A869">
            <v>705200</v>
          </cell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</row>
        <row r="870">
          <cell r="A870">
            <v>705300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</row>
        <row r="871">
          <cell r="A871">
            <v>705400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</row>
        <row r="872">
          <cell r="A872">
            <v>705500</v>
          </cell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</row>
        <row r="873">
          <cell r="A873">
            <v>705900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</row>
        <row r="874">
          <cell r="A874">
            <v>706100</v>
          </cell>
          <cell r="B874">
            <v>0</v>
          </cell>
          <cell r="C874">
            <v>50567949</v>
          </cell>
          <cell r="D874">
            <v>0</v>
          </cell>
          <cell r="E874">
            <v>0</v>
          </cell>
          <cell r="F874">
            <v>50567949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</row>
        <row r="875">
          <cell r="A875">
            <v>706200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</row>
        <row r="876">
          <cell r="A876">
            <v>706300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</row>
        <row r="877">
          <cell r="A877">
            <v>706400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</row>
        <row r="878">
          <cell r="A878">
            <v>706500</v>
          </cell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</row>
        <row r="879">
          <cell r="A879">
            <v>706900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</row>
        <row r="880">
          <cell r="A880">
            <v>707100</v>
          </cell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</row>
        <row r="881">
          <cell r="A881">
            <v>707200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</row>
        <row r="882">
          <cell r="A882">
            <v>707300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</row>
        <row r="883">
          <cell r="A883">
            <v>707400</v>
          </cell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</row>
        <row r="884">
          <cell r="A884">
            <v>707500</v>
          </cell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</row>
        <row r="885">
          <cell r="A885">
            <v>707600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</row>
        <row r="886">
          <cell r="A886">
            <v>707700</v>
          </cell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</row>
        <row r="887">
          <cell r="A887">
            <v>707800</v>
          </cell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</row>
        <row r="888">
          <cell r="A888">
            <v>711000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</row>
        <row r="889">
          <cell r="A889">
            <v>712000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</row>
        <row r="890">
          <cell r="A890">
            <v>713000</v>
          </cell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</row>
        <row r="891">
          <cell r="A891">
            <v>714000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</row>
        <row r="892">
          <cell r="A892">
            <v>718000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</row>
        <row r="893">
          <cell r="A893">
            <v>721000</v>
          </cell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</row>
        <row r="894">
          <cell r="A894">
            <v>722100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</row>
        <row r="895">
          <cell r="A895">
            <v>722200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</row>
        <row r="896">
          <cell r="A896">
            <v>724000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</row>
        <row r="897">
          <cell r="A897">
            <v>726000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</row>
        <row r="898">
          <cell r="A898">
            <v>734100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</row>
        <row r="899">
          <cell r="A899">
            <v>734200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</row>
        <row r="900">
          <cell r="A900">
            <v>735100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</row>
        <row r="901">
          <cell r="A901">
            <v>735200</v>
          </cell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</row>
        <row r="902">
          <cell r="A902">
            <v>736000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</row>
        <row r="903">
          <cell r="A903">
            <v>737100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</row>
        <row r="904">
          <cell r="A904">
            <v>737200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</row>
        <row r="905">
          <cell r="A905">
            <v>751000</v>
          </cell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</row>
        <row r="906">
          <cell r="A906">
            <v>752100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</row>
        <row r="907">
          <cell r="A907">
            <v>752500</v>
          </cell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</row>
        <row r="908">
          <cell r="A908">
            <v>754100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</row>
        <row r="909">
          <cell r="A909">
            <v>754200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</row>
        <row r="910">
          <cell r="A910">
            <v>756000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</row>
        <row r="911">
          <cell r="A911">
            <v>758100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</row>
        <row r="912">
          <cell r="A912">
            <v>758200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</row>
        <row r="913">
          <cell r="A913">
            <v>758800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</row>
        <row r="914">
          <cell r="A914">
            <v>759100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</row>
        <row r="915">
          <cell r="A915">
            <v>759300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</row>
        <row r="916">
          <cell r="A916">
            <v>759400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</row>
        <row r="917">
          <cell r="A917">
            <v>759800</v>
          </cell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</row>
        <row r="918">
          <cell r="A918">
            <v>771200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</row>
        <row r="919">
          <cell r="A919">
            <v>771300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</row>
        <row r="920">
          <cell r="A920">
            <v>772100</v>
          </cell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</row>
        <row r="921">
          <cell r="A921">
            <v>772200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</row>
        <row r="922">
          <cell r="A922">
            <v>773000</v>
          </cell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</row>
        <row r="923">
          <cell r="A923">
            <v>774500</v>
          </cell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</row>
        <row r="924">
          <cell r="A924">
            <v>774600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</row>
        <row r="925">
          <cell r="A925">
            <v>775000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</row>
        <row r="926">
          <cell r="A926">
            <v>776000</v>
          </cell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</row>
        <row r="927">
          <cell r="A927">
            <v>777000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</row>
        <row r="928">
          <cell r="A928">
            <v>778100</v>
          </cell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</row>
        <row r="929">
          <cell r="A929">
            <v>778200</v>
          </cell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</row>
        <row r="930">
          <cell r="A930">
            <v>778400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</row>
        <row r="931">
          <cell r="A931">
            <v>779100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</row>
        <row r="932">
          <cell r="A932">
            <v>779500</v>
          </cell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</row>
        <row r="933">
          <cell r="A933">
            <v>779510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</row>
        <row r="934">
          <cell r="A934">
            <v>779520</v>
          </cell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</row>
        <row r="935">
          <cell r="A935">
            <v>779800</v>
          </cell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</row>
        <row r="936">
          <cell r="A936">
            <v>781000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</row>
        <row r="937">
          <cell r="A937">
            <v>787000</v>
          </cell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</row>
        <row r="938">
          <cell r="A938">
            <v>791100</v>
          </cell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</row>
        <row r="939">
          <cell r="A939">
            <v>791300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</row>
        <row r="940">
          <cell r="A940">
            <v>791400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</row>
        <row r="941">
          <cell r="A941">
            <v>797100</v>
          </cell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</row>
        <row r="942">
          <cell r="A942">
            <v>797200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</row>
        <row r="943">
          <cell r="A943">
            <v>798000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</row>
        <row r="944">
          <cell r="A944">
            <v>799000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</row>
        <row r="945">
          <cell r="A945">
            <v>811000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</row>
        <row r="946">
          <cell r="A946">
            <v>812000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</row>
        <row r="947">
          <cell r="A947">
            <v>816000</v>
          </cell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</row>
        <row r="948">
          <cell r="A948">
            <v>821000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</row>
        <row r="949">
          <cell r="A949">
            <v>822000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</row>
        <row r="950">
          <cell r="A950">
            <v>826000</v>
          </cell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</row>
        <row r="951">
          <cell r="A951">
            <v>831000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</row>
        <row r="952">
          <cell r="A952">
            <v>833000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</row>
        <row r="953">
          <cell r="A953">
            <v>834000</v>
          </cell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</row>
        <row r="954">
          <cell r="A954">
            <v>835000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</row>
        <row r="955">
          <cell r="A955">
            <v>836000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</row>
        <row r="956">
          <cell r="A956">
            <v>837000</v>
          </cell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</row>
        <row r="957">
          <cell r="A957">
            <v>839000</v>
          </cell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</row>
        <row r="958">
          <cell r="A958">
            <v>841000</v>
          </cell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</row>
        <row r="959">
          <cell r="A959">
            <v>843000</v>
          </cell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</row>
        <row r="960">
          <cell r="A960">
            <v>844000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</row>
        <row r="961">
          <cell r="A961">
            <v>845000</v>
          </cell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</row>
        <row r="962">
          <cell r="A962">
            <v>846000</v>
          </cell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</row>
        <row r="963">
          <cell r="A963">
            <v>847000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</row>
        <row r="964">
          <cell r="A964">
            <v>848000</v>
          </cell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</row>
        <row r="965">
          <cell r="A965">
            <v>849000</v>
          </cell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</row>
        <row r="966">
          <cell r="A966">
            <v>851000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</row>
        <row r="967">
          <cell r="A967">
            <v>852000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</row>
        <row r="968">
          <cell r="A968">
            <v>853000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</row>
        <row r="969">
          <cell r="A969">
            <v>854000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</row>
        <row r="970">
          <cell r="A970">
            <v>858000</v>
          </cell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</row>
        <row r="971">
          <cell r="A971">
            <v>871000</v>
          </cell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</row>
        <row r="972">
          <cell r="A972">
            <v>874000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</row>
        <row r="973">
          <cell r="A973">
            <v>878000</v>
          </cell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</row>
        <row r="974">
          <cell r="A974">
            <v>891100</v>
          </cell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</row>
        <row r="975">
          <cell r="A975">
            <v>892000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</row>
        <row r="976">
          <cell r="A976">
            <v>895000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</row>
        <row r="977">
          <cell r="A977">
            <v>899100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</row>
        <row r="978">
          <cell r="A978">
            <v>899400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</row>
        <row r="979">
          <cell r="A979">
            <v>861000</v>
          </cell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</row>
        <row r="980">
          <cell r="A980">
            <v>862000</v>
          </cell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</row>
        <row r="981">
          <cell r="A981">
            <v>863000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</row>
        <row r="982">
          <cell r="A982">
            <v>864000</v>
          </cell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</row>
        <row r="983">
          <cell r="A983">
            <v>868000</v>
          </cell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</row>
        <row r="984">
          <cell r="A984">
            <v>881000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</row>
        <row r="985">
          <cell r="A985">
            <v>884000</v>
          </cell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</row>
        <row r="986">
          <cell r="A986">
            <v>886000</v>
          </cell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</row>
        <row r="987">
          <cell r="A987">
            <v>888000</v>
          </cell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3">
          <cell r="C3" t="str">
            <v>ZACH PARTNERS COTE D'IVOIRE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C00000"/>
  </sheetPr>
  <dimension ref="A1:C10"/>
  <sheetViews>
    <sheetView tabSelected="1" workbookViewId="0">
      <selection activeCell="C4" sqref="C4"/>
    </sheetView>
  </sheetViews>
  <sheetFormatPr baseColWidth="10" defaultRowHeight="15" x14ac:dyDescent="0.25"/>
  <cols>
    <col min="3" max="3" width="20.57031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3" spans="1:3" ht="16.5" x14ac:dyDescent="0.3">
      <c r="A3" s="3" t="s">
        <v>1</v>
      </c>
      <c r="B3" s="4" t="s">
        <v>2</v>
      </c>
      <c r="C3" s="5">
        <f>3.5/100</f>
        <v>3.5000000000000003E-2</v>
      </c>
    </row>
    <row r="4" spans="1:3" ht="39.75" x14ac:dyDescent="0.3">
      <c r="A4" s="6" t="s">
        <v>3</v>
      </c>
      <c r="B4" s="4" t="s">
        <v>4</v>
      </c>
      <c r="C4" s="5">
        <f>+-1+(1+taux_interêt)^(1/4)</f>
        <v>8.6374459977134332E-3</v>
      </c>
    </row>
    <row r="5" spans="1:3" ht="39.75" x14ac:dyDescent="0.3">
      <c r="A5" s="6" t="s">
        <v>5</v>
      </c>
      <c r="B5" s="4" t="s">
        <v>6</v>
      </c>
      <c r="C5" s="7">
        <f>+(1/(1+taux_interêt))</f>
        <v>0.96618357487922713</v>
      </c>
    </row>
    <row r="6" spans="1:3" ht="16.5" x14ac:dyDescent="0.3">
      <c r="A6" s="3" t="s">
        <v>7</v>
      </c>
      <c r="B6" s="4" t="s">
        <v>8</v>
      </c>
      <c r="C6" s="4">
        <v>106</v>
      </c>
    </row>
    <row r="7" spans="1:3" ht="16.5" x14ac:dyDescent="0.3">
      <c r="A7" s="3" t="s">
        <v>9</v>
      </c>
      <c r="B7" s="4" t="s">
        <v>10</v>
      </c>
      <c r="C7" s="7">
        <v>0.05</v>
      </c>
    </row>
    <row r="8" spans="1:3" ht="17.25" thickBot="1" x14ac:dyDescent="0.35">
      <c r="A8" s="8" t="s">
        <v>11</v>
      </c>
      <c r="B8" s="9" t="s">
        <v>12</v>
      </c>
      <c r="C8" s="10">
        <v>0.05</v>
      </c>
    </row>
    <row r="9" spans="1:3" ht="18" thickTop="1" thickBot="1" x14ac:dyDescent="0.35">
      <c r="A9" s="11" t="s">
        <v>13</v>
      </c>
      <c r="B9" s="11" t="s">
        <v>14</v>
      </c>
      <c r="C9" s="12">
        <f ca="1">TODAY()</f>
        <v>46226</v>
      </c>
    </row>
    <row r="10" spans="1:3" ht="15.75" thickTop="1" x14ac:dyDescent="0.25"/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8"/>
  <sheetViews>
    <sheetView workbookViewId="0">
      <pane xSplit="1" topLeftCell="B1" activePane="topRight" state="frozen"/>
      <selection pane="topRight" activeCell="O23" sqref="O23"/>
    </sheetView>
  </sheetViews>
  <sheetFormatPr baseColWidth="10" defaultColWidth="11.42578125" defaultRowHeight="15" x14ac:dyDescent="0.25"/>
  <cols>
    <col min="1" max="1" width="4.42578125" style="2" customWidth="1"/>
    <col min="2" max="2" width="42.28515625" style="2" customWidth="1"/>
    <col min="3" max="3" width="10.28515625" style="2" customWidth="1"/>
    <col min="4" max="4" width="16.7109375" style="13" customWidth="1"/>
    <col min="5" max="5" width="8.85546875" style="2" customWidth="1"/>
    <col min="6" max="6" width="14.7109375" style="13" bestFit="1" customWidth="1"/>
    <col min="7" max="7" width="13.42578125" style="2" bestFit="1" customWidth="1"/>
    <col min="8" max="8" width="16.5703125" style="13" customWidth="1"/>
    <col min="9" max="9" width="9.5703125" style="2" customWidth="1"/>
    <col min="10" max="10" width="15.7109375" style="13" customWidth="1"/>
    <col min="11" max="11" width="8.28515625" style="2" customWidth="1"/>
    <col min="12" max="12" width="15.7109375" style="13" bestFit="1" customWidth="1"/>
    <col min="13" max="13" width="15.7109375" style="2" bestFit="1" customWidth="1"/>
    <col min="14" max="16384" width="11.42578125" style="2"/>
  </cols>
  <sheetData>
    <row r="1" spans="1:13" ht="15.75" thickBot="1" x14ac:dyDescent="0.3">
      <c r="D1" s="2"/>
      <c r="F1" s="2"/>
      <c r="H1" s="2"/>
      <c r="J1" s="2"/>
      <c r="L1" s="2"/>
    </row>
    <row r="2" spans="1:13" ht="19.5" thickBot="1" x14ac:dyDescent="0.35">
      <c r="C2" s="117" t="s">
        <v>16</v>
      </c>
      <c r="D2" s="118"/>
      <c r="E2" s="118"/>
      <c r="F2" s="118"/>
      <c r="G2" s="118"/>
      <c r="H2" s="118"/>
      <c r="I2" s="118"/>
      <c r="J2" s="118"/>
      <c r="K2" s="118"/>
      <c r="L2" s="119"/>
    </row>
    <row r="3" spans="1:13" ht="10.5" customHeight="1" thickBot="1" x14ac:dyDescent="0.35">
      <c r="C3" s="14"/>
      <c r="D3" s="15"/>
      <c r="E3" s="15"/>
      <c r="F3" s="15"/>
      <c r="G3" s="15"/>
      <c r="H3" s="15"/>
      <c r="I3" s="15"/>
      <c r="J3" s="15"/>
      <c r="K3" s="15"/>
      <c r="L3" s="15"/>
    </row>
    <row r="4" spans="1:13" ht="31.5" customHeight="1" thickBot="1" x14ac:dyDescent="0.3">
      <c r="B4" s="120" t="s">
        <v>17</v>
      </c>
      <c r="C4" s="121"/>
      <c r="D4" s="122"/>
      <c r="E4" s="15"/>
      <c r="F4" s="15"/>
      <c r="G4" s="15"/>
      <c r="H4" s="16"/>
      <c r="I4" s="15"/>
      <c r="J4" s="15"/>
      <c r="K4" s="15"/>
      <c r="L4" s="15"/>
    </row>
    <row r="5" spans="1:13" x14ac:dyDescent="0.25">
      <c r="B5" s="123"/>
      <c r="C5" s="123"/>
      <c r="D5" s="123"/>
      <c r="F5" s="2"/>
      <c r="H5" s="2"/>
      <c r="J5" s="2"/>
      <c r="L5" s="2"/>
    </row>
    <row r="6" spans="1:13" ht="15.75" x14ac:dyDescent="0.25">
      <c r="A6" s="124" t="s">
        <v>18</v>
      </c>
      <c r="B6" s="125"/>
      <c r="C6" s="126">
        <v>44286</v>
      </c>
      <c r="D6" s="127"/>
      <c r="E6" s="128">
        <v>44377</v>
      </c>
      <c r="F6" s="129"/>
      <c r="G6" s="128">
        <v>44469</v>
      </c>
      <c r="H6" s="129"/>
      <c r="I6" s="128">
        <v>44561</v>
      </c>
      <c r="J6" s="129"/>
      <c r="K6" s="128" t="s">
        <v>15</v>
      </c>
      <c r="L6" s="129"/>
    </row>
    <row r="7" spans="1:13" ht="15.75" x14ac:dyDescent="0.25">
      <c r="A7" s="17"/>
      <c r="B7" s="17"/>
      <c r="C7" s="18" t="s">
        <v>19</v>
      </c>
      <c r="D7" s="18" t="s">
        <v>20</v>
      </c>
      <c r="E7" s="55" t="s">
        <v>19</v>
      </c>
      <c r="F7" s="55" t="s">
        <v>20</v>
      </c>
      <c r="G7" s="55" t="s">
        <v>19</v>
      </c>
      <c r="H7" s="55" t="s">
        <v>20</v>
      </c>
      <c r="I7" s="55" t="s">
        <v>19</v>
      </c>
      <c r="J7" s="55" t="s">
        <v>20</v>
      </c>
      <c r="K7" s="55" t="s">
        <v>19</v>
      </c>
      <c r="L7" s="55" t="s">
        <v>20</v>
      </c>
    </row>
    <row r="8" spans="1:13" ht="15.75" x14ac:dyDescent="0.25">
      <c r="A8" s="114" t="s">
        <v>21</v>
      </c>
      <c r="B8" s="19" t="s">
        <v>22</v>
      </c>
      <c r="C8" s="20">
        <v>21</v>
      </c>
      <c r="D8" s="21">
        <v>15252700</v>
      </c>
      <c r="E8" s="56">
        <v>57</v>
      </c>
      <c r="F8" s="57">
        <v>35571510</v>
      </c>
      <c r="G8" s="56">
        <v>95</v>
      </c>
      <c r="H8" s="57">
        <v>42389059</v>
      </c>
      <c r="I8" s="56">
        <v>181</v>
      </c>
      <c r="J8" s="57">
        <v>65674580</v>
      </c>
      <c r="K8" s="56">
        <v>178</v>
      </c>
      <c r="L8" s="57">
        <f>D8+F8+H8+J8</f>
        <v>158887849</v>
      </c>
    </row>
    <row r="9" spans="1:13" ht="30.75" customHeight="1" x14ac:dyDescent="0.25">
      <c r="A9" s="114"/>
      <c r="B9" s="23" t="s">
        <v>23</v>
      </c>
      <c r="C9" s="24">
        <v>3</v>
      </c>
      <c r="D9" s="25">
        <v>22878500</v>
      </c>
      <c r="E9" s="58">
        <v>1</v>
      </c>
      <c r="F9" s="59">
        <v>685900</v>
      </c>
      <c r="G9" s="58">
        <v>6</v>
      </c>
      <c r="H9" s="59">
        <f>53890977-42389059</f>
        <v>11501918</v>
      </c>
      <c r="I9" s="58">
        <v>0</v>
      </c>
      <c r="J9" s="59">
        <f>94498780-65674580</f>
        <v>28824200</v>
      </c>
      <c r="K9" s="58"/>
      <c r="L9" s="57">
        <f t="shared" ref="L9:L11" si="0">D9+F9+H9+J9</f>
        <v>63890518</v>
      </c>
    </row>
    <row r="10" spans="1:13" ht="15.75" x14ac:dyDescent="0.25">
      <c r="A10" s="114"/>
      <c r="B10" s="19" t="s">
        <v>24</v>
      </c>
      <c r="C10" s="20"/>
      <c r="D10" s="21"/>
      <c r="E10" s="56"/>
      <c r="F10" s="57"/>
      <c r="G10" s="56">
        <f t="shared" ref="G10" si="1">SUM(C10:F10)</f>
        <v>0</v>
      </c>
      <c r="H10" s="57"/>
      <c r="I10" s="56"/>
      <c r="J10" s="57"/>
      <c r="K10" s="56"/>
      <c r="L10" s="57">
        <f t="shared" si="0"/>
        <v>0</v>
      </c>
    </row>
    <row r="11" spans="1:13" s="33" customFormat="1" ht="15.75" x14ac:dyDescent="0.25">
      <c r="A11" s="114"/>
      <c r="B11" s="27" t="s">
        <v>25</v>
      </c>
      <c r="C11" s="28">
        <f t="shared" ref="C11:J11" si="2">SUM(C8:C10)</f>
        <v>24</v>
      </c>
      <c r="D11" s="29">
        <f t="shared" si="2"/>
        <v>38131200</v>
      </c>
      <c r="E11" s="60">
        <f t="shared" si="2"/>
        <v>58</v>
      </c>
      <c r="F11" s="61">
        <f t="shared" si="2"/>
        <v>36257410</v>
      </c>
      <c r="G11" s="62">
        <f t="shared" si="2"/>
        <v>101</v>
      </c>
      <c r="H11" s="61">
        <f t="shared" si="2"/>
        <v>53890977</v>
      </c>
      <c r="I11" s="62">
        <f t="shared" si="2"/>
        <v>181</v>
      </c>
      <c r="J11" s="61">
        <f t="shared" si="2"/>
        <v>94498780</v>
      </c>
      <c r="K11" s="62">
        <v>178</v>
      </c>
      <c r="L11" s="57">
        <f t="shared" si="0"/>
        <v>222778367</v>
      </c>
      <c r="M11" s="32"/>
    </row>
    <row r="12" spans="1:13" x14ac:dyDescent="0.25">
      <c r="A12" s="115"/>
      <c r="B12" s="115"/>
      <c r="C12" s="34"/>
      <c r="D12" s="35"/>
      <c r="E12" s="63"/>
      <c r="F12" s="64"/>
      <c r="G12" s="63"/>
      <c r="H12" s="64"/>
      <c r="I12" s="63"/>
      <c r="J12" s="64"/>
      <c r="K12" s="63"/>
      <c r="L12" s="64"/>
    </row>
    <row r="13" spans="1:13" ht="15.75" x14ac:dyDescent="0.25">
      <c r="A13" s="114" t="s">
        <v>26</v>
      </c>
      <c r="B13" s="36" t="s">
        <v>27</v>
      </c>
      <c r="C13" s="20"/>
      <c r="D13" s="21"/>
      <c r="E13" s="56"/>
      <c r="F13" s="57"/>
      <c r="G13" s="56"/>
      <c r="H13" s="57"/>
      <c r="I13" s="56"/>
      <c r="J13" s="57"/>
      <c r="K13" s="56"/>
      <c r="L13" s="61">
        <f>D13+F13+H13+J13</f>
        <v>0</v>
      </c>
    </row>
    <row r="14" spans="1:13" ht="15.75" x14ac:dyDescent="0.25">
      <c r="A14" s="114"/>
      <c r="B14" s="37" t="s">
        <v>28</v>
      </c>
      <c r="C14" s="20"/>
      <c r="D14" s="21"/>
      <c r="E14" s="56"/>
      <c r="F14" s="57"/>
      <c r="G14" s="56"/>
      <c r="H14" s="57"/>
      <c r="I14" s="56"/>
      <c r="J14" s="57"/>
      <c r="K14" s="56"/>
      <c r="L14" s="61">
        <f t="shared" ref="L14:L21" si="3">D14+F14+H14+J14</f>
        <v>0</v>
      </c>
    </row>
    <row r="15" spans="1:13" ht="15.75" x14ac:dyDescent="0.25">
      <c r="A15" s="114"/>
      <c r="B15" s="19" t="s">
        <v>29</v>
      </c>
      <c r="C15" s="20"/>
      <c r="D15" s="21"/>
      <c r="E15" s="56">
        <v>0</v>
      </c>
      <c r="F15" s="57"/>
      <c r="G15" s="56"/>
      <c r="H15" s="57"/>
      <c r="I15" s="56">
        <v>3</v>
      </c>
      <c r="J15" s="57">
        <v>0</v>
      </c>
      <c r="K15" s="56"/>
      <c r="L15" s="61">
        <f t="shared" si="3"/>
        <v>0</v>
      </c>
    </row>
    <row r="16" spans="1:13" s="33" customFormat="1" ht="15.75" x14ac:dyDescent="0.25">
      <c r="A16" s="114"/>
      <c r="B16" s="19" t="s">
        <v>34</v>
      </c>
      <c r="C16" s="28">
        <v>0</v>
      </c>
      <c r="D16" s="29"/>
      <c r="E16" s="62"/>
      <c r="F16" s="61"/>
      <c r="G16" s="62"/>
      <c r="H16" s="61"/>
      <c r="I16" s="62"/>
      <c r="J16" s="61"/>
      <c r="K16" s="62"/>
      <c r="L16" s="61">
        <f t="shared" si="3"/>
        <v>0</v>
      </c>
    </row>
    <row r="17" spans="1:12" ht="15.75" x14ac:dyDescent="0.25">
      <c r="A17" s="114"/>
      <c r="B17" s="19" t="s">
        <v>35</v>
      </c>
      <c r="C17" s="20"/>
      <c r="D17" s="21"/>
      <c r="E17" s="56"/>
      <c r="F17" s="57"/>
      <c r="G17" s="56"/>
      <c r="H17" s="57"/>
      <c r="I17" s="56"/>
      <c r="J17" s="57"/>
      <c r="K17" s="56"/>
      <c r="L17" s="61">
        <f t="shared" si="3"/>
        <v>0</v>
      </c>
    </row>
    <row r="18" spans="1:12" ht="15.75" x14ac:dyDescent="0.25">
      <c r="A18" s="114"/>
      <c r="B18" s="19" t="s">
        <v>36</v>
      </c>
      <c r="C18" s="20"/>
      <c r="D18" s="21"/>
      <c r="E18" s="56"/>
      <c r="F18" s="57"/>
      <c r="G18" s="56"/>
      <c r="H18" s="57"/>
      <c r="I18" s="56"/>
      <c r="J18" s="57"/>
      <c r="K18" s="56"/>
      <c r="L18" s="61">
        <f t="shared" si="3"/>
        <v>0</v>
      </c>
    </row>
    <row r="19" spans="1:12" ht="15.75" x14ac:dyDescent="0.25">
      <c r="A19" s="114"/>
      <c r="B19" s="19" t="s">
        <v>37</v>
      </c>
      <c r="C19" s="20"/>
      <c r="D19" s="21"/>
      <c r="E19" s="56"/>
      <c r="F19" s="57"/>
      <c r="G19" s="56"/>
      <c r="H19" s="57"/>
      <c r="I19" s="56"/>
      <c r="J19" s="57"/>
      <c r="K19" s="56"/>
      <c r="L19" s="61">
        <f t="shared" si="3"/>
        <v>0</v>
      </c>
    </row>
    <row r="20" spans="1:12" s="33" customFormat="1" ht="15.75" x14ac:dyDescent="0.25">
      <c r="A20" s="114"/>
      <c r="B20" s="38" t="s">
        <v>38</v>
      </c>
      <c r="C20" s="28">
        <v>0</v>
      </c>
      <c r="D20" s="29">
        <v>0</v>
      </c>
      <c r="E20" s="62"/>
      <c r="F20" s="61"/>
      <c r="G20" s="62"/>
      <c r="H20" s="61"/>
      <c r="I20" s="62"/>
      <c r="J20" s="61"/>
      <c r="K20" s="62"/>
      <c r="L20" s="61">
        <f t="shared" si="3"/>
        <v>0</v>
      </c>
    </row>
    <row r="21" spans="1:12" s="33" customFormat="1" ht="15.75" x14ac:dyDescent="0.25">
      <c r="A21" s="114"/>
      <c r="B21" s="18" t="s">
        <v>39</v>
      </c>
      <c r="C21" s="28">
        <f t="shared" ref="C21:D21" si="4">SUM(C13:C20)</f>
        <v>0</v>
      </c>
      <c r="D21" s="29">
        <f t="shared" si="4"/>
        <v>0</v>
      </c>
      <c r="E21" s="62"/>
      <c r="F21" s="61"/>
      <c r="G21" s="62"/>
      <c r="H21" s="61"/>
      <c r="I21" s="62"/>
      <c r="J21" s="61"/>
      <c r="K21" s="62"/>
      <c r="L21" s="61">
        <f t="shared" si="3"/>
        <v>0</v>
      </c>
    </row>
    <row r="22" spans="1:12" x14ac:dyDescent="0.25">
      <c r="A22" s="116" t="s">
        <v>40</v>
      </c>
      <c r="B22" s="116"/>
      <c r="C22" s="34">
        <f t="shared" ref="C22:H22" si="5">+C11-C21</f>
        <v>24</v>
      </c>
      <c r="D22" s="39">
        <f>+D11-D21</f>
        <v>38131200</v>
      </c>
      <c r="E22" s="63">
        <f t="shared" si="5"/>
        <v>58</v>
      </c>
      <c r="F22" s="64">
        <f t="shared" si="5"/>
        <v>36257410</v>
      </c>
      <c r="G22" s="63">
        <f t="shared" si="5"/>
        <v>101</v>
      </c>
      <c r="H22" s="64">
        <f t="shared" si="5"/>
        <v>53890977</v>
      </c>
      <c r="I22" s="63">
        <f>+I8-I15-I16</f>
        <v>178</v>
      </c>
      <c r="J22" s="64">
        <f>J11-J21</f>
        <v>94498780</v>
      </c>
      <c r="K22" s="63">
        <v>178</v>
      </c>
      <c r="L22" s="64">
        <f>L11-L21</f>
        <v>222778367</v>
      </c>
    </row>
    <row r="23" spans="1:12" x14ac:dyDescent="0.25">
      <c r="A23" s="115" t="s">
        <v>41</v>
      </c>
      <c r="B23" s="115"/>
      <c r="C23" s="40"/>
      <c r="D23" s="41"/>
      <c r="E23" s="42"/>
      <c r="F23" s="43"/>
      <c r="G23" s="42"/>
      <c r="H23" s="43"/>
      <c r="I23" s="42"/>
      <c r="J23" s="43"/>
      <c r="K23" s="42"/>
      <c r="L23" s="43"/>
    </row>
    <row r="24" spans="1:12" x14ac:dyDescent="0.25">
      <c r="F24" s="32"/>
      <c r="H24" s="32"/>
      <c r="J24" s="32"/>
    </row>
    <row r="25" spans="1:12" x14ac:dyDescent="0.25">
      <c r="D25" s="13">
        <f>+D22*(1+ip)</f>
        <v>38460556.180828013</v>
      </c>
      <c r="E25" s="13"/>
      <c r="F25" s="13">
        <f>+D25+(F22*(1+ip))</f>
        <v>75031137.601719975</v>
      </c>
      <c r="G25" s="13"/>
      <c r="H25" s="13">
        <f>+F25+(H22*(1+ip))</f>
        <v>129387595.0053215</v>
      </c>
      <c r="I25" s="13"/>
      <c r="J25" s="13">
        <f>+H25+(J22*(1+ip))</f>
        <v>224702603.11442131</v>
      </c>
      <c r="L25" s="13">
        <f>+L22*(1+3.5%)</f>
        <v>230575609.84499997</v>
      </c>
    </row>
    <row r="26" spans="1:12" x14ac:dyDescent="0.25">
      <c r="H26" s="32"/>
      <c r="J26" s="32"/>
    </row>
    <row r="28" spans="1:12" x14ac:dyDescent="0.25">
      <c r="G28" s="65"/>
      <c r="H28" s="47"/>
    </row>
  </sheetData>
  <mergeCells count="14">
    <mergeCell ref="C2:L2"/>
    <mergeCell ref="B4:D4"/>
    <mergeCell ref="B5:D5"/>
    <mergeCell ref="A6:B6"/>
    <mergeCell ref="C6:D6"/>
    <mergeCell ref="E6:F6"/>
    <mergeCell ref="G6:H6"/>
    <mergeCell ref="I6:J6"/>
    <mergeCell ref="K6:L6"/>
    <mergeCell ref="A8:A11"/>
    <mergeCell ref="A12:B12"/>
    <mergeCell ref="A13:A21"/>
    <mergeCell ref="A22:B22"/>
    <mergeCell ref="A23:B23"/>
  </mergeCells>
  <pageMargins left="0.7" right="0.7" top="0.75" bottom="0.75" header="0.3" footer="0.3"/>
  <pageSetup scale="6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  <pageSetUpPr fitToPage="1"/>
  </sheetPr>
  <dimension ref="A1:M28"/>
  <sheetViews>
    <sheetView workbookViewId="0">
      <pane xSplit="1" topLeftCell="B1" activePane="topRight" state="frozen"/>
      <selection pane="topRight" activeCell="C15" sqref="C15"/>
    </sheetView>
  </sheetViews>
  <sheetFormatPr baseColWidth="10" defaultColWidth="11.42578125" defaultRowHeight="15" x14ac:dyDescent="0.25"/>
  <cols>
    <col min="1" max="1" width="4.42578125" style="2" customWidth="1"/>
    <col min="2" max="2" width="42.28515625" style="2" customWidth="1"/>
    <col min="3" max="3" width="10.28515625" style="2" customWidth="1"/>
    <col min="4" max="4" width="16.7109375" style="13" customWidth="1"/>
    <col min="5" max="5" width="10.85546875" style="2" bestFit="1" customWidth="1"/>
    <col min="6" max="6" width="16.42578125" style="13" bestFit="1" customWidth="1"/>
    <col min="7" max="7" width="13.5703125" style="2" bestFit="1" customWidth="1"/>
    <col min="8" max="8" width="16.5703125" style="13" customWidth="1"/>
    <col min="9" max="9" width="10.7109375" style="2" bestFit="1" customWidth="1"/>
    <col min="10" max="10" width="16.42578125" style="13" bestFit="1" customWidth="1"/>
    <col min="11" max="11" width="8.28515625" style="2" customWidth="1"/>
    <col min="12" max="12" width="16.42578125" style="13" bestFit="1" customWidth="1"/>
    <col min="13" max="13" width="15.7109375" style="2" bestFit="1" customWidth="1"/>
    <col min="14" max="16384" width="11.42578125" style="2"/>
  </cols>
  <sheetData>
    <row r="1" spans="1:13" ht="15.75" thickBot="1" x14ac:dyDescent="0.3">
      <c r="D1" s="2"/>
      <c r="F1" s="2"/>
      <c r="H1" s="2"/>
      <c r="J1" s="2"/>
      <c r="L1" s="2"/>
    </row>
    <row r="2" spans="1:13" ht="19.5" thickBot="1" x14ac:dyDescent="0.35">
      <c r="C2" s="117" t="s">
        <v>16</v>
      </c>
      <c r="D2" s="118"/>
      <c r="E2" s="118"/>
      <c r="F2" s="118"/>
      <c r="G2" s="118"/>
      <c r="H2" s="118"/>
      <c r="I2" s="118"/>
      <c r="J2" s="118"/>
      <c r="K2" s="118"/>
      <c r="L2" s="119"/>
    </row>
    <row r="3" spans="1:13" ht="10.5" customHeight="1" thickBot="1" x14ac:dyDescent="0.35">
      <c r="C3" s="14"/>
      <c r="D3" s="15"/>
      <c r="E3" s="15"/>
      <c r="F3" s="15"/>
      <c r="G3" s="15"/>
      <c r="H3" s="15"/>
      <c r="I3" s="15"/>
      <c r="J3" s="15"/>
      <c r="K3" s="15"/>
      <c r="L3" s="15"/>
    </row>
    <row r="4" spans="1:13" ht="31.5" customHeight="1" thickBot="1" x14ac:dyDescent="0.3">
      <c r="B4" s="120" t="s">
        <v>17</v>
      </c>
      <c r="C4" s="121"/>
      <c r="D4" s="122"/>
      <c r="E4" s="15"/>
      <c r="F4" s="15"/>
      <c r="G4" s="15"/>
      <c r="H4" s="16"/>
      <c r="I4" s="15"/>
      <c r="J4" s="15"/>
      <c r="K4" s="15"/>
      <c r="L4" s="15"/>
    </row>
    <row r="5" spans="1:13" x14ac:dyDescent="0.25">
      <c r="B5" s="123"/>
      <c r="C5" s="123"/>
      <c r="D5" s="123"/>
      <c r="F5" s="2"/>
      <c r="H5" s="2"/>
      <c r="J5" s="2"/>
      <c r="L5" s="2"/>
    </row>
    <row r="6" spans="1:13" ht="15.75" x14ac:dyDescent="0.25">
      <c r="A6" s="124" t="s">
        <v>18</v>
      </c>
      <c r="B6" s="125"/>
      <c r="C6" s="126">
        <v>44651</v>
      </c>
      <c r="D6" s="127"/>
      <c r="E6" s="130">
        <v>44742</v>
      </c>
      <c r="F6" s="131"/>
      <c r="G6" s="130">
        <v>44834</v>
      </c>
      <c r="H6" s="131"/>
      <c r="I6" s="130">
        <v>44926</v>
      </c>
      <c r="J6" s="131"/>
      <c r="K6" s="130" t="s">
        <v>15</v>
      </c>
      <c r="L6" s="131"/>
    </row>
    <row r="7" spans="1:13" ht="15.75" x14ac:dyDescent="0.25">
      <c r="A7" s="17"/>
      <c r="B7" s="17"/>
      <c r="C7" s="18" t="s">
        <v>19</v>
      </c>
      <c r="D7" s="18" t="s">
        <v>20</v>
      </c>
      <c r="E7" s="18" t="s">
        <v>19</v>
      </c>
      <c r="F7" s="18" t="s">
        <v>20</v>
      </c>
      <c r="G7" s="18" t="s">
        <v>19</v>
      </c>
      <c r="H7" s="18" t="s">
        <v>20</v>
      </c>
      <c r="I7" s="18" t="s">
        <v>19</v>
      </c>
      <c r="J7" s="18" t="s">
        <v>20</v>
      </c>
      <c r="K7" s="18" t="s">
        <v>19</v>
      </c>
      <c r="L7" s="18" t="s">
        <v>20</v>
      </c>
    </row>
    <row r="8" spans="1:13" ht="15.75" x14ac:dyDescent="0.25">
      <c r="A8" s="114" t="s">
        <v>21</v>
      </c>
      <c r="B8" s="19" t="s">
        <v>22</v>
      </c>
      <c r="C8" s="20">
        <v>265</v>
      </c>
      <c r="D8" s="21">
        <v>92478806</v>
      </c>
      <c r="E8" s="22">
        <v>360</v>
      </c>
      <c r="F8" s="21">
        <v>101995556</v>
      </c>
      <c r="G8" s="22">
        <v>377</v>
      </c>
      <c r="H8" s="21">
        <v>103942376</v>
      </c>
      <c r="I8" s="22">
        <v>436</v>
      </c>
      <c r="J8" s="21">
        <v>132436444</v>
      </c>
      <c r="K8" s="22"/>
      <c r="L8" s="21">
        <f>D8+F8+H8+J8</f>
        <v>430853182</v>
      </c>
    </row>
    <row r="9" spans="1:13" ht="30.75" customHeight="1" x14ac:dyDescent="0.25">
      <c r="A9" s="114"/>
      <c r="B9" s="23" t="s">
        <v>23</v>
      </c>
      <c r="C9" s="24">
        <v>2</v>
      </c>
      <c r="D9" s="25">
        <v>5268400</v>
      </c>
      <c r="E9" s="24">
        <v>4</v>
      </c>
      <c r="F9" s="26">
        <v>10293600</v>
      </c>
      <c r="G9" s="24">
        <v>5</v>
      </c>
      <c r="H9" s="26">
        <v>32372300</v>
      </c>
      <c r="I9" s="24">
        <v>7</v>
      </c>
      <c r="J9" s="26">
        <v>29360700</v>
      </c>
      <c r="K9" s="24"/>
      <c r="L9" s="21">
        <f t="shared" ref="L9:L11" si="0">D9+F9+H9+J9</f>
        <v>77295000</v>
      </c>
    </row>
    <row r="10" spans="1:13" ht="15.75" x14ac:dyDescent="0.25">
      <c r="A10" s="114"/>
      <c r="B10" s="19" t="s">
        <v>24</v>
      </c>
      <c r="C10" s="20"/>
      <c r="D10" s="21"/>
      <c r="E10" s="22"/>
      <c r="F10" s="21"/>
      <c r="G10" s="22">
        <v>27</v>
      </c>
      <c r="H10" s="21">
        <v>5898533</v>
      </c>
      <c r="I10" s="22"/>
      <c r="J10" s="21"/>
      <c r="K10" s="22"/>
      <c r="L10" s="21">
        <f t="shared" si="0"/>
        <v>5898533</v>
      </c>
    </row>
    <row r="11" spans="1:13" s="33" customFormat="1" ht="15.75" x14ac:dyDescent="0.25">
      <c r="A11" s="114"/>
      <c r="B11" s="27" t="s">
        <v>25</v>
      </c>
      <c r="C11" s="28">
        <f t="shared" ref="C11:J11" si="1">SUM(C8:C10)</f>
        <v>267</v>
      </c>
      <c r="D11" s="29">
        <f t="shared" si="1"/>
        <v>97747206</v>
      </c>
      <c r="E11" s="30">
        <f t="shared" si="1"/>
        <v>364</v>
      </c>
      <c r="F11" s="29">
        <f t="shared" si="1"/>
        <v>112289156</v>
      </c>
      <c r="G11" s="31">
        <f t="shared" si="1"/>
        <v>409</v>
      </c>
      <c r="H11" s="29">
        <f t="shared" si="1"/>
        <v>142213209</v>
      </c>
      <c r="I11" s="31">
        <f t="shared" si="1"/>
        <v>443</v>
      </c>
      <c r="J11" s="29">
        <f t="shared" si="1"/>
        <v>161797144</v>
      </c>
      <c r="K11" s="31"/>
      <c r="L11" s="21">
        <f t="shared" si="0"/>
        <v>514046715</v>
      </c>
      <c r="M11" s="32"/>
    </row>
    <row r="12" spans="1:13" x14ac:dyDescent="0.25">
      <c r="A12" s="115"/>
      <c r="B12" s="115"/>
      <c r="C12" s="34"/>
      <c r="D12" s="35"/>
      <c r="E12" s="34"/>
      <c r="F12" s="35"/>
      <c r="G12" s="34"/>
      <c r="H12" s="35"/>
      <c r="I12" s="34"/>
      <c r="J12" s="35"/>
      <c r="K12" s="34"/>
      <c r="L12" s="35"/>
    </row>
    <row r="13" spans="1:13" ht="15.75" x14ac:dyDescent="0.25">
      <c r="A13" s="114" t="s">
        <v>26</v>
      </c>
      <c r="B13" s="36" t="s">
        <v>27</v>
      </c>
      <c r="C13" s="20"/>
      <c r="D13" s="21"/>
      <c r="E13" s="22"/>
      <c r="F13" s="21"/>
      <c r="G13" s="22"/>
      <c r="H13" s="21"/>
      <c r="I13" s="22"/>
      <c r="J13" s="21"/>
      <c r="K13" s="22"/>
      <c r="L13" s="29">
        <f>D13+F13+H13+J13</f>
        <v>0</v>
      </c>
    </row>
    <row r="14" spans="1:13" ht="15.75" x14ac:dyDescent="0.25">
      <c r="A14" s="114"/>
      <c r="B14" s="37" t="s">
        <v>28</v>
      </c>
      <c r="C14" s="20"/>
      <c r="D14" s="21"/>
      <c r="E14" s="22"/>
      <c r="F14" s="21">
        <f>362600+813000+228400+267600+68000</f>
        <v>1739600</v>
      </c>
      <c r="G14" s="22"/>
      <c r="H14" s="21"/>
      <c r="I14" s="22"/>
      <c r="J14" s="21"/>
      <c r="K14" s="22"/>
      <c r="L14" s="29">
        <f t="shared" ref="L14:L21" si="2">D14+F14+H14+J14</f>
        <v>1739600</v>
      </c>
    </row>
    <row r="15" spans="1:13" ht="15.75" x14ac:dyDescent="0.25">
      <c r="A15" s="114"/>
      <c r="B15" s="19" t="s">
        <v>29</v>
      </c>
      <c r="C15" s="20" t="s">
        <v>30</v>
      </c>
      <c r="D15" s="21">
        <v>522372</v>
      </c>
      <c r="E15" s="22" t="s">
        <v>31</v>
      </c>
      <c r="F15" s="21">
        <f>522372+475160</f>
        <v>997532</v>
      </c>
      <c r="G15" s="22" t="s">
        <v>32</v>
      </c>
      <c r="H15" s="21">
        <f>997532+475160</f>
        <v>1472692</v>
      </c>
      <c r="I15" s="22" t="s">
        <v>33</v>
      </c>
      <c r="J15" s="21">
        <f>1472692+696496</f>
        <v>2169188</v>
      </c>
      <c r="K15" s="22"/>
      <c r="L15" s="29">
        <f t="shared" si="2"/>
        <v>5161784</v>
      </c>
    </row>
    <row r="16" spans="1:13" s="33" customFormat="1" ht="15.75" x14ac:dyDescent="0.25">
      <c r="A16" s="114"/>
      <c r="B16" s="19" t="s">
        <v>34</v>
      </c>
      <c r="C16" s="28">
        <v>0</v>
      </c>
      <c r="D16" s="29"/>
      <c r="E16" s="31">
        <v>1</v>
      </c>
      <c r="F16" s="29">
        <v>1767876</v>
      </c>
      <c r="G16" s="31"/>
      <c r="H16" s="29"/>
      <c r="I16" s="31"/>
      <c r="J16" s="29"/>
      <c r="K16" s="31"/>
      <c r="L16" s="29">
        <f t="shared" si="2"/>
        <v>1767876</v>
      </c>
    </row>
    <row r="17" spans="1:12" ht="15.75" x14ac:dyDescent="0.25">
      <c r="A17" s="114"/>
      <c r="B17" s="19" t="s">
        <v>35</v>
      </c>
      <c r="C17" s="20"/>
      <c r="D17" s="21"/>
      <c r="E17" s="22"/>
      <c r="F17" s="21"/>
      <c r="G17" s="22"/>
      <c r="H17" s="21"/>
      <c r="I17" s="22"/>
      <c r="J17" s="21"/>
      <c r="K17" s="22"/>
      <c r="L17" s="29">
        <f t="shared" si="2"/>
        <v>0</v>
      </c>
    </row>
    <row r="18" spans="1:12" ht="15.75" x14ac:dyDescent="0.25">
      <c r="A18" s="114"/>
      <c r="B18" s="19" t="s">
        <v>36</v>
      </c>
      <c r="C18" s="20"/>
      <c r="D18" s="21"/>
      <c r="E18" s="22"/>
      <c r="F18" s="21"/>
      <c r="G18" s="22"/>
      <c r="H18" s="21"/>
      <c r="I18" s="22">
        <v>0</v>
      </c>
      <c r="J18" s="21"/>
      <c r="K18" s="22"/>
      <c r="L18" s="29">
        <f t="shared" si="2"/>
        <v>0</v>
      </c>
    </row>
    <row r="19" spans="1:12" ht="15.75" x14ac:dyDescent="0.25">
      <c r="A19" s="114"/>
      <c r="B19" s="19" t="s">
        <v>37</v>
      </c>
      <c r="C19" s="20"/>
      <c r="D19" s="21"/>
      <c r="E19" s="22"/>
      <c r="F19" s="21"/>
      <c r="G19" s="22"/>
      <c r="H19" s="21"/>
      <c r="I19" s="22"/>
      <c r="J19" s="21"/>
      <c r="K19" s="22"/>
      <c r="L19" s="29">
        <f t="shared" si="2"/>
        <v>0</v>
      </c>
    </row>
    <row r="20" spans="1:12" s="33" customFormat="1" ht="15.75" x14ac:dyDescent="0.25">
      <c r="A20" s="114"/>
      <c r="B20" s="38" t="s">
        <v>38</v>
      </c>
      <c r="C20" s="28">
        <v>7</v>
      </c>
      <c r="D20" s="29">
        <v>2434600</v>
      </c>
      <c r="E20" s="31">
        <v>0</v>
      </c>
      <c r="F20" s="29">
        <v>0</v>
      </c>
      <c r="G20" s="31">
        <v>3</v>
      </c>
      <c r="H20" s="29">
        <f>329443+3688629+173867</f>
        <v>4191939</v>
      </c>
      <c r="I20" s="31">
        <v>6</v>
      </c>
      <c r="J20" s="29">
        <f>100000+184000+197898+1382852+413182+127987</f>
        <v>2405919</v>
      </c>
      <c r="K20" s="31"/>
      <c r="L20" s="29">
        <f t="shared" si="2"/>
        <v>9032458</v>
      </c>
    </row>
    <row r="21" spans="1:12" s="33" customFormat="1" ht="15.75" x14ac:dyDescent="0.25">
      <c r="A21" s="114"/>
      <c r="B21" s="18" t="s">
        <v>39</v>
      </c>
      <c r="C21" s="28">
        <f t="shared" ref="C21:K21" si="3">SUM(C13:C20)</f>
        <v>7</v>
      </c>
      <c r="D21" s="29">
        <f t="shared" si="3"/>
        <v>2956972</v>
      </c>
      <c r="E21" s="28">
        <f t="shared" si="3"/>
        <v>1</v>
      </c>
      <c r="F21" s="29">
        <f>SUM(F13:F20)</f>
        <v>4505008</v>
      </c>
      <c r="G21" s="28">
        <f t="shared" si="3"/>
        <v>3</v>
      </c>
      <c r="H21" s="29">
        <f t="shared" si="3"/>
        <v>5664631</v>
      </c>
      <c r="I21" s="28">
        <f t="shared" si="3"/>
        <v>6</v>
      </c>
      <c r="J21" s="29">
        <f t="shared" si="3"/>
        <v>4575107</v>
      </c>
      <c r="K21" s="28">
        <f t="shared" si="3"/>
        <v>0</v>
      </c>
      <c r="L21" s="29">
        <f t="shared" si="2"/>
        <v>17701718</v>
      </c>
    </row>
    <row r="22" spans="1:12" x14ac:dyDescent="0.25">
      <c r="A22" s="116" t="s">
        <v>40</v>
      </c>
      <c r="B22" s="116"/>
      <c r="C22" s="34">
        <f t="shared" ref="C22:H22" si="4">+C11-C21</f>
        <v>260</v>
      </c>
      <c r="D22" s="39">
        <f>+D11-D21</f>
        <v>94790234</v>
      </c>
      <c r="E22" s="34">
        <f>+E11-E21</f>
        <v>363</v>
      </c>
      <c r="F22" s="35">
        <f>+F11-F21</f>
        <v>107784148</v>
      </c>
      <c r="G22" s="34">
        <f t="shared" si="4"/>
        <v>406</v>
      </c>
      <c r="H22" s="35">
        <f t="shared" si="4"/>
        <v>136548578</v>
      </c>
      <c r="I22" s="34">
        <f>I11-I21</f>
        <v>437</v>
      </c>
      <c r="J22" s="35">
        <f>J11-J21</f>
        <v>157222037</v>
      </c>
      <c r="K22" s="34"/>
      <c r="L22" s="35">
        <f>L11-L21</f>
        <v>496344997</v>
      </c>
    </row>
    <row r="23" spans="1:12" x14ac:dyDescent="0.25">
      <c r="A23" s="115" t="s">
        <v>41</v>
      </c>
      <c r="B23" s="115"/>
      <c r="C23" s="40"/>
      <c r="D23" s="41"/>
      <c r="E23" s="42"/>
      <c r="F23" s="43"/>
      <c r="G23" s="42"/>
      <c r="H23" s="43"/>
      <c r="I23" s="42"/>
      <c r="J23" s="43"/>
      <c r="K23" s="42"/>
      <c r="L23" s="43"/>
    </row>
    <row r="24" spans="1:12" x14ac:dyDescent="0.25">
      <c r="F24" s="32"/>
      <c r="H24" s="32"/>
      <c r="J24" s="32"/>
    </row>
    <row r="25" spans="1:12" x14ac:dyDescent="0.25">
      <c r="G25" s="44"/>
      <c r="H25" s="45"/>
    </row>
    <row r="26" spans="1:12" x14ac:dyDescent="0.25">
      <c r="H26" s="32"/>
      <c r="J26" s="32"/>
    </row>
    <row r="28" spans="1:12" x14ac:dyDescent="0.25">
      <c r="G28" s="46"/>
      <c r="H28" s="47"/>
    </row>
  </sheetData>
  <mergeCells count="14">
    <mergeCell ref="C2:L2"/>
    <mergeCell ref="B4:D4"/>
    <mergeCell ref="B5:D5"/>
    <mergeCell ref="A6:B6"/>
    <mergeCell ref="C6:D6"/>
    <mergeCell ref="E6:F6"/>
    <mergeCell ref="G6:H6"/>
    <mergeCell ref="I6:J6"/>
    <mergeCell ref="K6:L6"/>
    <mergeCell ref="A8:A11"/>
    <mergeCell ref="A12:B12"/>
    <mergeCell ref="A13:A21"/>
    <mergeCell ref="A22:B22"/>
    <mergeCell ref="A23:B23"/>
  </mergeCells>
  <pageMargins left="0.7" right="0.7" top="0.75" bottom="0.75" header="0.3" footer="0.3"/>
  <pageSetup scale="6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9"/>
  <sheetViews>
    <sheetView topLeftCell="A2" workbookViewId="0">
      <pane xSplit="1" topLeftCell="B1" activePane="topRight" state="frozen"/>
      <selection pane="topRight" activeCell="L21" sqref="L21"/>
    </sheetView>
  </sheetViews>
  <sheetFormatPr baseColWidth="10" defaultRowHeight="15" x14ac:dyDescent="0.25"/>
  <cols>
    <col min="1" max="1" width="4.42578125" style="2" customWidth="1"/>
    <col min="2" max="2" width="42.28515625" style="2" customWidth="1"/>
    <col min="3" max="3" width="10.28515625" style="2" customWidth="1"/>
    <col min="4" max="4" width="16.7109375" style="13" customWidth="1"/>
    <col min="5" max="5" width="9.85546875" style="2" bestFit="1" customWidth="1"/>
    <col min="6" max="6" width="17.28515625" style="13" bestFit="1" customWidth="1"/>
    <col min="7" max="7" width="9.85546875" style="2" bestFit="1" customWidth="1"/>
    <col min="8" max="8" width="16.5703125" style="13" customWidth="1"/>
    <col min="9" max="9" width="9.5703125" style="2" customWidth="1"/>
    <col min="10" max="10" width="16.42578125" style="13" bestFit="1" customWidth="1"/>
    <col min="11" max="11" width="8.28515625" style="2" customWidth="1"/>
    <col min="12" max="12" width="16.42578125" style="13" bestFit="1" customWidth="1"/>
    <col min="13" max="13" width="15.7109375" style="2" bestFit="1" customWidth="1"/>
    <col min="14" max="14" width="12.28515625" style="2" bestFit="1" customWidth="1"/>
    <col min="15" max="16384" width="11.42578125" style="2"/>
  </cols>
  <sheetData>
    <row r="1" spans="1:14" ht="15.75" thickBot="1" x14ac:dyDescent="0.3">
      <c r="D1" s="2"/>
      <c r="F1" s="2"/>
      <c r="H1" s="2"/>
      <c r="J1" s="2"/>
      <c r="L1" s="2"/>
    </row>
    <row r="2" spans="1:14" ht="19.5" thickBot="1" x14ac:dyDescent="0.35">
      <c r="C2" s="117" t="s">
        <v>16</v>
      </c>
      <c r="D2" s="118"/>
      <c r="E2" s="118"/>
      <c r="F2" s="118"/>
      <c r="G2" s="118"/>
      <c r="H2" s="118"/>
      <c r="I2" s="118"/>
      <c r="J2" s="118"/>
      <c r="K2" s="118"/>
      <c r="L2" s="119"/>
    </row>
    <row r="3" spans="1:14" ht="10.5" customHeight="1" thickBot="1" x14ac:dyDescent="0.35">
      <c r="C3" s="14"/>
      <c r="D3" s="15"/>
      <c r="E3" s="15"/>
      <c r="F3" s="15"/>
      <c r="G3" s="15"/>
      <c r="H3" s="15"/>
      <c r="I3" s="15"/>
      <c r="J3" s="15"/>
      <c r="K3" s="15"/>
      <c r="L3" s="15"/>
    </row>
    <row r="4" spans="1:14" ht="31.5" customHeight="1" thickBot="1" x14ac:dyDescent="0.3">
      <c r="B4" s="120" t="s">
        <v>17</v>
      </c>
      <c r="C4" s="121"/>
      <c r="D4" s="122"/>
      <c r="E4" s="15"/>
      <c r="F4" s="15"/>
      <c r="G4" s="15"/>
      <c r="H4" s="16"/>
      <c r="I4" s="15"/>
      <c r="J4" s="15"/>
      <c r="K4" s="15"/>
      <c r="L4" s="15"/>
    </row>
    <row r="5" spans="1:14" x14ac:dyDescent="0.25">
      <c r="B5" s="123"/>
      <c r="C5" s="123"/>
      <c r="D5" s="123"/>
      <c r="F5" s="2"/>
      <c r="H5" s="2"/>
      <c r="J5" s="2"/>
      <c r="L5" s="2"/>
    </row>
    <row r="6" spans="1:14" ht="15.75" x14ac:dyDescent="0.25">
      <c r="A6" s="124" t="s">
        <v>68</v>
      </c>
      <c r="B6" s="125"/>
      <c r="C6" s="126">
        <v>45016</v>
      </c>
      <c r="D6" s="127"/>
      <c r="E6" s="130">
        <v>45107</v>
      </c>
      <c r="F6" s="131"/>
      <c r="G6" s="130">
        <v>45199</v>
      </c>
      <c r="H6" s="131"/>
      <c r="I6" s="130">
        <v>45291</v>
      </c>
      <c r="J6" s="131"/>
      <c r="K6" s="130" t="s">
        <v>15</v>
      </c>
      <c r="L6" s="131"/>
    </row>
    <row r="7" spans="1:14" ht="15.75" x14ac:dyDescent="0.25">
      <c r="A7" s="17"/>
      <c r="B7" s="17"/>
      <c r="C7" s="18" t="s">
        <v>19</v>
      </c>
      <c r="D7" s="18" t="s">
        <v>20</v>
      </c>
      <c r="E7" s="18" t="s">
        <v>19</v>
      </c>
      <c r="F7" s="18" t="s">
        <v>20</v>
      </c>
      <c r="G7" s="18" t="s">
        <v>19</v>
      </c>
      <c r="H7" s="18" t="s">
        <v>20</v>
      </c>
      <c r="I7" s="18" t="s">
        <v>19</v>
      </c>
      <c r="J7" s="18" t="s">
        <v>20</v>
      </c>
      <c r="K7" s="18" t="s">
        <v>19</v>
      </c>
      <c r="L7" s="18" t="s">
        <v>20</v>
      </c>
    </row>
    <row r="8" spans="1:14" ht="15.75" x14ac:dyDescent="0.25">
      <c r="A8" s="114" t="s">
        <v>21</v>
      </c>
      <c r="B8" s="19" t="s">
        <v>69</v>
      </c>
      <c r="C8" s="20">
        <v>562</v>
      </c>
      <c r="D8" s="21">
        <v>139875962</v>
      </c>
      <c r="E8" s="22">
        <v>668</v>
      </c>
      <c r="F8" s="21">
        <f>144114285+352200</f>
        <v>144466485</v>
      </c>
      <c r="G8" s="22">
        <v>743</v>
      </c>
      <c r="H8" s="21">
        <v>150704451</v>
      </c>
      <c r="I8" s="22">
        <f>772+9</f>
        <v>781</v>
      </c>
      <c r="J8" s="21">
        <f>151746631+756700</f>
        <v>152503331</v>
      </c>
      <c r="K8" s="22"/>
      <c r="L8" s="21">
        <f>D8+F8+H8+J8</f>
        <v>587550229</v>
      </c>
      <c r="N8" s="13"/>
    </row>
    <row r="9" spans="1:14" ht="30.75" customHeight="1" x14ac:dyDescent="0.25">
      <c r="A9" s="114"/>
      <c r="B9" s="23" t="s">
        <v>23</v>
      </c>
      <c r="C9" s="24">
        <v>3</v>
      </c>
      <c r="D9" s="25">
        <f>1512700+4462400+2884200</f>
        <v>8859300</v>
      </c>
      <c r="E9" s="24">
        <v>1</v>
      </c>
      <c r="F9" s="25">
        <v>3859260</v>
      </c>
      <c r="G9" s="24">
        <v>5</v>
      </c>
      <c r="H9" s="26">
        <v>20007800</v>
      </c>
      <c r="I9" s="24">
        <v>3</v>
      </c>
      <c r="J9" s="26">
        <f>1673400+3030000+11843804+5000000</f>
        <v>21547204</v>
      </c>
      <c r="K9" s="24"/>
      <c r="L9" s="21">
        <f t="shared" ref="L9:L10" si="0">D9+F9+H9+J9</f>
        <v>54273564</v>
      </c>
    </row>
    <row r="10" spans="1:14" ht="15.75" x14ac:dyDescent="0.25">
      <c r="A10" s="114"/>
      <c r="B10" s="19" t="s">
        <v>24</v>
      </c>
      <c r="C10" s="20"/>
      <c r="D10" s="21"/>
      <c r="E10" s="22"/>
      <c r="F10" s="21"/>
      <c r="G10" s="22"/>
      <c r="H10" s="21"/>
      <c r="I10" s="22"/>
      <c r="J10" s="21"/>
      <c r="K10" s="22"/>
      <c r="L10" s="21">
        <f t="shared" si="0"/>
        <v>0</v>
      </c>
    </row>
    <row r="11" spans="1:14" s="33" customFormat="1" ht="15.75" x14ac:dyDescent="0.25">
      <c r="A11" s="114"/>
      <c r="B11" s="27" t="s">
        <v>25</v>
      </c>
      <c r="C11" s="28">
        <f t="shared" ref="C11:L11" si="1">SUM(C8:C10)</f>
        <v>565</v>
      </c>
      <c r="D11" s="76">
        <f t="shared" si="1"/>
        <v>148735262</v>
      </c>
      <c r="E11" s="28">
        <f t="shared" si="1"/>
        <v>669</v>
      </c>
      <c r="F11" s="76">
        <f t="shared" si="1"/>
        <v>148325745</v>
      </c>
      <c r="G11" s="28">
        <f t="shared" si="1"/>
        <v>748</v>
      </c>
      <c r="H11" s="76">
        <f t="shared" si="1"/>
        <v>170712251</v>
      </c>
      <c r="I11" s="28">
        <f t="shared" si="1"/>
        <v>784</v>
      </c>
      <c r="J11" s="76">
        <f t="shared" si="1"/>
        <v>174050535</v>
      </c>
      <c r="K11" s="28">
        <f t="shared" si="1"/>
        <v>0</v>
      </c>
      <c r="L11" s="76">
        <f t="shared" si="1"/>
        <v>641823793</v>
      </c>
      <c r="M11" s="32"/>
    </row>
    <row r="12" spans="1:14" x14ac:dyDescent="0.25">
      <c r="A12" s="115"/>
      <c r="B12" s="115"/>
      <c r="C12" s="34"/>
      <c r="D12" s="35"/>
      <c r="E12" s="34"/>
      <c r="F12" s="35"/>
      <c r="G12" s="34"/>
      <c r="H12" s="35"/>
      <c r="I12" s="34"/>
      <c r="J12" s="35"/>
      <c r="K12" s="34"/>
      <c r="L12" s="35"/>
    </row>
    <row r="13" spans="1:14" ht="15.75" x14ac:dyDescent="0.25">
      <c r="A13" s="114" t="s">
        <v>26</v>
      </c>
      <c r="B13" s="36" t="s">
        <v>27</v>
      </c>
      <c r="C13" s="20"/>
      <c r="D13" s="21"/>
      <c r="E13" s="22"/>
      <c r="F13" s="21"/>
      <c r="G13" s="22"/>
      <c r="H13" s="21"/>
      <c r="I13" s="22"/>
      <c r="J13" s="21"/>
      <c r="K13" s="22"/>
      <c r="L13" s="29">
        <f>D13+F13+H13+J13</f>
        <v>0</v>
      </c>
    </row>
    <row r="14" spans="1:14" ht="15.75" x14ac:dyDescent="0.25">
      <c r="A14" s="114"/>
      <c r="B14" s="37" t="s">
        <v>28</v>
      </c>
      <c r="C14" s="20"/>
      <c r="D14" s="21"/>
      <c r="E14" s="22"/>
      <c r="F14" s="21"/>
      <c r="G14" s="22"/>
      <c r="H14" s="21"/>
      <c r="I14" s="22"/>
      <c r="J14" s="21"/>
      <c r="K14" s="22"/>
      <c r="L14" s="29">
        <f t="shared" ref="L14:L22" si="2">D14+F14+H14+J14</f>
        <v>0</v>
      </c>
    </row>
    <row r="15" spans="1:14" ht="15.75" x14ac:dyDescent="0.25">
      <c r="A15" s="114"/>
      <c r="B15" s="37" t="s">
        <v>70</v>
      </c>
      <c r="C15" s="20">
        <v>15</v>
      </c>
      <c r="D15" s="21">
        <f>3039808-D16</f>
        <v>2865684</v>
      </c>
      <c r="E15" s="22">
        <v>16</v>
      </c>
      <c r="F15" s="21">
        <v>3039808</v>
      </c>
      <c r="G15" s="22">
        <v>19</v>
      </c>
      <c r="H15" s="21">
        <v>3689092</v>
      </c>
      <c r="I15" s="22">
        <v>21</v>
      </c>
      <c r="J15" s="21">
        <v>4164252</v>
      </c>
      <c r="K15" s="22"/>
      <c r="L15" s="29">
        <f t="shared" si="2"/>
        <v>13758836</v>
      </c>
    </row>
    <row r="16" spans="1:14" ht="15.75" x14ac:dyDescent="0.25">
      <c r="A16" s="114"/>
      <c r="B16" s="19" t="s">
        <v>71</v>
      </c>
      <c r="C16" s="20">
        <v>1</v>
      </c>
      <c r="D16" s="21">
        <v>174124</v>
      </c>
      <c r="E16" s="22">
        <v>3</v>
      </c>
      <c r="F16" s="21">
        <f>174124+301036+174124</f>
        <v>649284</v>
      </c>
      <c r="G16" s="22">
        <v>2</v>
      </c>
      <c r="H16" s="21">
        <f>301036+174124</f>
        <v>475160</v>
      </c>
      <c r="I16" s="22">
        <v>2</v>
      </c>
      <c r="J16" s="21">
        <f>174124+174124</f>
        <v>348248</v>
      </c>
      <c r="K16" s="22"/>
      <c r="L16" s="29">
        <f t="shared" si="2"/>
        <v>1646816</v>
      </c>
    </row>
    <row r="17" spans="1:12" s="33" customFormat="1" ht="15.75" x14ac:dyDescent="0.25">
      <c r="A17" s="114"/>
      <c r="B17" s="19" t="s">
        <v>34</v>
      </c>
      <c r="C17" s="28">
        <v>0</v>
      </c>
      <c r="D17" s="29"/>
      <c r="E17" s="31"/>
      <c r="F17" s="29"/>
      <c r="G17" s="31"/>
      <c r="H17" s="29"/>
      <c r="I17" s="31"/>
      <c r="J17" s="29"/>
      <c r="K17" s="31"/>
      <c r="L17" s="29">
        <f t="shared" si="2"/>
        <v>0</v>
      </c>
    </row>
    <row r="18" spans="1:12" ht="15.75" x14ac:dyDescent="0.25">
      <c r="A18" s="114"/>
      <c r="B18" s="19" t="s">
        <v>35</v>
      </c>
      <c r="C18" s="20"/>
      <c r="D18" s="21"/>
      <c r="E18" s="22"/>
      <c r="F18" s="21"/>
      <c r="G18" s="22"/>
      <c r="H18" s="21"/>
      <c r="I18" s="22"/>
      <c r="J18" s="21"/>
      <c r="K18" s="22"/>
      <c r="L18" s="29">
        <f t="shared" si="2"/>
        <v>0</v>
      </c>
    </row>
    <row r="19" spans="1:12" ht="15.75" x14ac:dyDescent="0.25">
      <c r="A19" s="114"/>
      <c r="B19" s="19" t="s">
        <v>36</v>
      </c>
      <c r="C19" s="20"/>
      <c r="D19" s="21"/>
      <c r="E19" s="22"/>
      <c r="F19" s="21"/>
      <c r="G19" s="22"/>
      <c r="H19" s="21"/>
      <c r="I19" s="22"/>
      <c r="J19" s="21"/>
      <c r="K19" s="22"/>
      <c r="L19" s="29">
        <f t="shared" si="2"/>
        <v>0</v>
      </c>
    </row>
    <row r="20" spans="1:12" ht="15.75" x14ac:dyDescent="0.25">
      <c r="A20" s="114"/>
      <c r="B20" s="19" t="s">
        <v>37</v>
      </c>
      <c r="C20" s="20"/>
      <c r="D20" s="21"/>
      <c r="E20" s="22"/>
      <c r="F20" s="21"/>
      <c r="G20" s="22"/>
      <c r="H20" s="21"/>
      <c r="I20" s="22"/>
      <c r="J20" s="21"/>
      <c r="K20" s="22"/>
      <c r="L20" s="29">
        <f t="shared" si="2"/>
        <v>0</v>
      </c>
    </row>
    <row r="21" spans="1:12" s="33" customFormat="1" ht="15.75" x14ac:dyDescent="0.25">
      <c r="A21" s="114"/>
      <c r="B21" s="38" t="s">
        <v>38</v>
      </c>
      <c r="C21" s="20">
        <v>4</v>
      </c>
      <c r="D21" s="21">
        <f>67453+45515+934088+3459041</f>
        <v>4506097</v>
      </c>
      <c r="E21" s="22">
        <v>8</v>
      </c>
      <c r="F21" s="21">
        <v>9565833</v>
      </c>
      <c r="G21" s="22">
        <v>9</v>
      </c>
      <c r="H21" s="21">
        <v>4330053</v>
      </c>
      <c r="I21" s="22">
        <v>1</v>
      </c>
      <c r="J21" s="21">
        <v>677824</v>
      </c>
      <c r="K21" s="22"/>
      <c r="L21" s="21">
        <f t="shared" si="2"/>
        <v>19079807</v>
      </c>
    </row>
    <row r="22" spans="1:12" s="33" customFormat="1" ht="15.75" x14ac:dyDescent="0.25">
      <c r="A22" s="114"/>
      <c r="B22" s="18" t="s">
        <v>39</v>
      </c>
      <c r="C22" s="28">
        <f>SUM(C13:C21)-C15</f>
        <v>5</v>
      </c>
      <c r="D22" s="29">
        <f t="shared" ref="D22:J22" si="3">SUM(D13:D21)</f>
        <v>7545905</v>
      </c>
      <c r="E22" s="28">
        <f t="shared" ref="E22" si="4">SUM(E13:E21)-E15</f>
        <v>11</v>
      </c>
      <c r="F22" s="29">
        <f t="shared" si="3"/>
        <v>13254925</v>
      </c>
      <c r="G22" s="28">
        <f t="shared" ref="G22" si="5">SUM(G13:G21)-G15</f>
        <v>11</v>
      </c>
      <c r="H22" s="29">
        <f t="shared" si="3"/>
        <v>8494305</v>
      </c>
      <c r="I22" s="28">
        <f t="shared" ref="I22" si="6">SUM(I13:I21)-I15</f>
        <v>3</v>
      </c>
      <c r="J22" s="29">
        <f t="shared" si="3"/>
        <v>5190324</v>
      </c>
      <c r="K22" s="31">
        <f t="shared" ref="K22" si="7">SUM(K13:K21)</f>
        <v>0</v>
      </c>
      <c r="L22" s="29">
        <f t="shared" si="2"/>
        <v>34485459</v>
      </c>
    </row>
    <row r="23" spans="1:12" x14ac:dyDescent="0.25">
      <c r="A23" s="116" t="s">
        <v>40</v>
      </c>
      <c r="B23" s="116"/>
      <c r="C23" s="34">
        <f t="shared" ref="C23:J23" si="8">+C11-C22</f>
        <v>560</v>
      </c>
      <c r="D23" s="39">
        <f t="shared" si="8"/>
        <v>141189357</v>
      </c>
      <c r="E23" s="34">
        <f t="shared" si="8"/>
        <v>658</v>
      </c>
      <c r="F23" s="39">
        <f t="shared" si="8"/>
        <v>135070820</v>
      </c>
      <c r="G23" s="34">
        <f t="shared" si="8"/>
        <v>737</v>
      </c>
      <c r="H23" s="39">
        <f t="shared" si="8"/>
        <v>162217946</v>
      </c>
      <c r="I23" s="34">
        <f t="shared" si="8"/>
        <v>781</v>
      </c>
      <c r="J23" s="39">
        <f t="shared" si="8"/>
        <v>168860211</v>
      </c>
      <c r="K23" s="34">
        <f>SUM(K13:K22)</f>
        <v>0</v>
      </c>
      <c r="L23" s="35">
        <f>L11-L22</f>
        <v>607338334</v>
      </c>
    </row>
    <row r="24" spans="1:12" x14ac:dyDescent="0.25">
      <c r="A24" s="115" t="s">
        <v>72</v>
      </c>
      <c r="B24" s="115"/>
      <c r="C24" s="40"/>
      <c r="D24" s="41"/>
      <c r="E24" s="40"/>
      <c r="F24" s="41"/>
      <c r="G24" s="40"/>
      <c r="H24" s="41"/>
      <c r="I24" s="40"/>
      <c r="J24" s="41"/>
      <c r="K24" s="40"/>
      <c r="L24" s="41"/>
    </row>
    <row r="25" spans="1:12" x14ac:dyDescent="0.25">
      <c r="F25" s="32"/>
      <c r="H25" s="32"/>
      <c r="J25" s="32"/>
    </row>
    <row r="26" spans="1:12" x14ac:dyDescent="0.25">
      <c r="G26" s="44"/>
      <c r="H26" s="45"/>
    </row>
    <row r="27" spans="1:12" x14ac:dyDescent="0.25">
      <c r="H27" s="32"/>
      <c r="J27" s="32"/>
    </row>
    <row r="28" spans="1:12" x14ac:dyDescent="0.25">
      <c r="H28" s="13">
        <f>+D11+F11+H11</f>
        <v>467773258</v>
      </c>
      <c r="J28" s="13">
        <f>+D11+F11+H11+J11</f>
        <v>641823793</v>
      </c>
    </row>
    <row r="29" spans="1:12" x14ac:dyDescent="0.25">
      <c r="F29" s="13">
        <f>222778367+496344997+446378679</f>
        <v>1165502043</v>
      </c>
      <c r="G29" s="65"/>
      <c r="H29" s="47">
        <f>+D23+F23+H23</f>
        <v>438478123</v>
      </c>
      <c r="J29" s="77">
        <f>+D23+F23+H23+J23</f>
        <v>607338334</v>
      </c>
    </row>
  </sheetData>
  <mergeCells count="14">
    <mergeCell ref="C2:L2"/>
    <mergeCell ref="B4:D4"/>
    <mergeCell ref="B5:D5"/>
    <mergeCell ref="A6:B6"/>
    <mergeCell ref="C6:D6"/>
    <mergeCell ref="E6:F6"/>
    <mergeCell ref="G6:H6"/>
    <mergeCell ref="I6:J6"/>
    <mergeCell ref="K6:L6"/>
    <mergeCell ref="A8:A11"/>
    <mergeCell ref="A12:B12"/>
    <mergeCell ref="A13:A22"/>
    <mergeCell ref="A23:B23"/>
    <mergeCell ref="A24:B24"/>
  </mergeCells>
  <pageMargins left="0.7" right="0.7" top="0.75" bottom="0.75" header="0.3" footer="0.3"/>
  <pageSetup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29"/>
  <sheetViews>
    <sheetView workbookViewId="0">
      <pane xSplit="1" topLeftCell="B1" activePane="topRight" state="frozen"/>
      <selection pane="topRight" activeCell="Q29" sqref="Q29"/>
    </sheetView>
  </sheetViews>
  <sheetFormatPr baseColWidth="10" defaultRowHeight="15" x14ac:dyDescent="0.25"/>
  <cols>
    <col min="1" max="1" width="4.42578125" style="2" customWidth="1"/>
    <col min="2" max="2" width="42.28515625" style="2" customWidth="1"/>
    <col min="3" max="3" width="10.28515625" style="2" customWidth="1"/>
    <col min="4" max="4" width="16.7109375" style="13" customWidth="1"/>
    <col min="5" max="5" width="9.85546875" style="2" bestFit="1" customWidth="1"/>
    <col min="6" max="6" width="17.28515625" style="13" bestFit="1" customWidth="1"/>
    <col min="7" max="7" width="9.85546875" style="2" bestFit="1" customWidth="1"/>
    <col min="8" max="8" width="16.5703125" style="13" customWidth="1"/>
    <col min="9" max="9" width="9.5703125" style="2" customWidth="1"/>
    <col min="10" max="10" width="16.42578125" style="13" bestFit="1" customWidth="1"/>
    <col min="11" max="11" width="8.28515625" style="2" customWidth="1"/>
    <col min="12" max="12" width="16.42578125" style="13" bestFit="1" customWidth="1"/>
    <col min="13" max="13" width="15.7109375" style="2" bestFit="1" customWidth="1"/>
    <col min="14" max="14" width="14.7109375" style="2" bestFit="1" customWidth="1"/>
    <col min="15" max="16384" width="11.42578125" style="2"/>
  </cols>
  <sheetData>
    <row r="1" spans="1:14" ht="15.75" thickBot="1" x14ac:dyDescent="0.3">
      <c r="D1" s="2"/>
      <c r="F1" s="2"/>
      <c r="H1" s="2"/>
      <c r="J1" s="2"/>
      <c r="L1" s="2"/>
    </row>
    <row r="2" spans="1:14" ht="19.5" thickBot="1" x14ac:dyDescent="0.35">
      <c r="C2" s="117" t="s">
        <v>16</v>
      </c>
      <c r="D2" s="118"/>
      <c r="E2" s="118"/>
      <c r="F2" s="118"/>
      <c r="G2" s="118"/>
      <c r="H2" s="118"/>
      <c r="I2" s="118"/>
      <c r="J2" s="118"/>
      <c r="K2" s="118"/>
      <c r="L2" s="119"/>
    </row>
    <row r="3" spans="1:14" ht="10.5" customHeight="1" thickBot="1" x14ac:dyDescent="0.35">
      <c r="C3" s="14"/>
      <c r="D3" s="15"/>
      <c r="E3" s="15"/>
      <c r="F3" s="15"/>
      <c r="G3" s="15"/>
      <c r="H3" s="15"/>
      <c r="I3" s="15"/>
      <c r="J3" s="15"/>
      <c r="K3" s="15"/>
      <c r="L3" s="15"/>
    </row>
    <row r="4" spans="1:14" ht="31.5" customHeight="1" thickBot="1" x14ac:dyDescent="0.3">
      <c r="B4" s="120" t="s">
        <v>17</v>
      </c>
      <c r="C4" s="121"/>
      <c r="D4" s="122"/>
      <c r="E4" s="15"/>
      <c r="F4" s="15"/>
      <c r="G4" s="15"/>
      <c r="H4" s="16"/>
      <c r="I4" s="15"/>
      <c r="J4" s="15"/>
      <c r="K4" s="15"/>
      <c r="L4" s="15"/>
    </row>
    <row r="5" spans="1:14" x14ac:dyDescent="0.25">
      <c r="B5" s="123"/>
      <c r="C5" s="123"/>
      <c r="D5" s="123"/>
      <c r="F5" s="2"/>
      <c r="H5" s="2"/>
      <c r="J5" s="2"/>
      <c r="L5" s="2"/>
    </row>
    <row r="6" spans="1:14" ht="15.75" x14ac:dyDescent="0.25">
      <c r="A6" s="124" t="s">
        <v>68</v>
      </c>
      <c r="B6" s="125"/>
      <c r="C6" s="126">
        <v>45016</v>
      </c>
      <c r="D6" s="127"/>
      <c r="E6" s="130">
        <v>45107</v>
      </c>
      <c r="F6" s="131"/>
      <c r="G6" s="130">
        <v>45199</v>
      </c>
      <c r="H6" s="131"/>
      <c r="I6" s="130">
        <v>45291</v>
      </c>
      <c r="J6" s="131"/>
      <c r="K6" s="130" t="s">
        <v>15</v>
      </c>
      <c r="L6" s="131"/>
    </row>
    <row r="7" spans="1:14" ht="15.75" x14ac:dyDescent="0.25">
      <c r="A7" s="17"/>
      <c r="B7" s="17"/>
      <c r="C7" s="18" t="s">
        <v>19</v>
      </c>
      <c r="D7" s="18" t="s">
        <v>20</v>
      </c>
      <c r="E7" s="18" t="s">
        <v>19</v>
      </c>
      <c r="F7" s="18" t="s">
        <v>20</v>
      </c>
      <c r="G7" s="18" t="s">
        <v>19</v>
      </c>
      <c r="H7" s="18" t="s">
        <v>20</v>
      </c>
      <c r="I7" s="18" t="s">
        <v>19</v>
      </c>
      <c r="J7" s="18" t="s">
        <v>20</v>
      </c>
      <c r="K7" s="18" t="s">
        <v>19</v>
      </c>
      <c r="L7" s="18" t="s">
        <v>20</v>
      </c>
    </row>
    <row r="8" spans="1:14" ht="15.75" x14ac:dyDescent="0.25">
      <c r="A8" s="114" t="s">
        <v>21</v>
      </c>
      <c r="B8" s="19" t="s">
        <v>69</v>
      </c>
      <c r="C8" s="20">
        <v>562</v>
      </c>
      <c r="D8" s="21">
        <v>139875962</v>
      </c>
      <c r="E8" s="22">
        <v>668</v>
      </c>
      <c r="F8" s="21">
        <f>144114285+352200</f>
        <v>144466485</v>
      </c>
      <c r="G8" s="22">
        <v>743</v>
      </c>
      <c r="H8" s="21">
        <v>150704451</v>
      </c>
      <c r="I8" s="22">
        <f>772+9</f>
        <v>781</v>
      </c>
      <c r="J8" s="21">
        <f>151746631+756700-304500</f>
        <v>152198831</v>
      </c>
      <c r="K8" s="22"/>
      <c r="L8" s="21">
        <f>D8+F8+H8+J8</f>
        <v>587245729</v>
      </c>
    </row>
    <row r="9" spans="1:14" ht="30.75" customHeight="1" x14ac:dyDescent="0.25">
      <c r="A9" s="114"/>
      <c r="B9" s="23" t="s">
        <v>23</v>
      </c>
      <c r="C9" s="24">
        <v>3</v>
      </c>
      <c r="D9" s="25">
        <f>1512700+4462400+2884200</f>
        <v>8859300</v>
      </c>
      <c r="E9" s="24">
        <v>1</v>
      </c>
      <c r="F9" s="25">
        <v>3859260</v>
      </c>
      <c r="G9" s="24">
        <v>5</v>
      </c>
      <c r="H9" s="26">
        <v>20007800</v>
      </c>
      <c r="I9" s="24">
        <v>7</v>
      </c>
      <c r="J9" s="26">
        <f>1673400+3030000+11849804+5000000+249500+150000+414500</f>
        <v>22367204</v>
      </c>
      <c r="K9" s="24"/>
      <c r="L9" s="21">
        <f t="shared" ref="L9:L10" si="0">D9+F9+H9+J9</f>
        <v>55093564</v>
      </c>
    </row>
    <row r="10" spans="1:14" ht="15.75" x14ac:dyDescent="0.25">
      <c r="A10" s="114"/>
      <c r="B10" s="19" t="s">
        <v>24</v>
      </c>
      <c r="C10" s="20"/>
      <c r="D10" s="21"/>
      <c r="E10" s="22"/>
      <c r="F10" s="21"/>
      <c r="G10" s="22"/>
      <c r="H10" s="21"/>
      <c r="I10" s="22"/>
      <c r="J10" s="21"/>
      <c r="K10" s="22"/>
      <c r="L10" s="21">
        <f t="shared" si="0"/>
        <v>0</v>
      </c>
    </row>
    <row r="11" spans="1:14" s="33" customFormat="1" ht="15.75" x14ac:dyDescent="0.25">
      <c r="A11" s="114"/>
      <c r="B11" s="27" t="s">
        <v>25</v>
      </c>
      <c r="C11" s="28">
        <f t="shared" ref="C11:L11" si="1">SUM(C8:C10)</f>
        <v>565</v>
      </c>
      <c r="D11" s="76">
        <f t="shared" si="1"/>
        <v>148735262</v>
      </c>
      <c r="E11" s="28">
        <f t="shared" si="1"/>
        <v>669</v>
      </c>
      <c r="F11" s="76">
        <f t="shared" si="1"/>
        <v>148325745</v>
      </c>
      <c r="G11" s="28">
        <f t="shared" si="1"/>
        <v>748</v>
      </c>
      <c r="H11" s="76">
        <f t="shared" si="1"/>
        <v>170712251</v>
      </c>
      <c r="I11" s="28">
        <f t="shared" si="1"/>
        <v>788</v>
      </c>
      <c r="J11" s="76">
        <f t="shared" si="1"/>
        <v>174566035</v>
      </c>
      <c r="K11" s="28">
        <f t="shared" si="1"/>
        <v>0</v>
      </c>
      <c r="L11" s="76">
        <f t="shared" si="1"/>
        <v>642339293</v>
      </c>
      <c r="M11" s="32"/>
    </row>
    <row r="12" spans="1:14" x14ac:dyDescent="0.25">
      <c r="A12" s="115"/>
      <c r="B12" s="115"/>
      <c r="C12" s="34"/>
      <c r="D12" s="35"/>
      <c r="E12" s="34"/>
      <c r="F12" s="35"/>
      <c r="G12" s="34"/>
      <c r="H12" s="35"/>
      <c r="I12" s="34"/>
      <c r="J12" s="35"/>
      <c r="K12" s="34"/>
      <c r="L12" s="35"/>
    </row>
    <row r="13" spans="1:14" ht="15.75" x14ac:dyDescent="0.25">
      <c r="A13" s="114" t="s">
        <v>26</v>
      </c>
      <c r="B13" s="36" t="s">
        <v>27</v>
      </c>
      <c r="C13" s="20"/>
      <c r="D13" s="21"/>
      <c r="E13" s="22"/>
      <c r="F13" s="21"/>
      <c r="G13" s="22"/>
      <c r="H13" s="21"/>
      <c r="I13" s="22"/>
      <c r="J13" s="21"/>
      <c r="K13" s="22"/>
      <c r="L13" s="29">
        <f>D13+F13+H13+J13</f>
        <v>0</v>
      </c>
    </row>
    <row r="14" spans="1:14" ht="15.75" x14ac:dyDescent="0.25">
      <c r="A14" s="114"/>
      <c r="B14" s="37" t="s">
        <v>28</v>
      </c>
      <c r="C14" s="20"/>
      <c r="D14" s="21"/>
      <c r="E14" s="22"/>
      <c r="F14" s="21"/>
      <c r="G14" s="22"/>
      <c r="H14" s="21"/>
      <c r="I14" s="22"/>
      <c r="J14" s="21"/>
      <c r="K14" s="22"/>
      <c r="L14" s="29">
        <f t="shared" ref="L14:L22" si="2">D14+F14+H14+J14</f>
        <v>0</v>
      </c>
    </row>
    <row r="15" spans="1:14" ht="15.75" x14ac:dyDescent="0.25">
      <c r="A15" s="114"/>
      <c r="B15" s="37" t="s">
        <v>70</v>
      </c>
      <c r="C15" s="20">
        <v>17</v>
      </c>
      <c r="D15" s="21">
        <f>3641880-174124</f>
        <v>3467756</v>
      </c>
      <c r="E15" s="22">
        <v>18</v>
      </c>
      <c r="F15" s="21">
        <v>3641880</v>
      </c>
      <c r="G15" s="22">
        <v>21</v>
      </c>
      <c r="H15" s="21">
        <v>4291164</v>
      </c>
      <c r="I15" s="22">
        <v>23</v>
      </c>
      <c r="J15" s="21">
        <v>4766324</v>
      </c>
      <c r="K15" s="22"/>
      <c r="L15" s="29">
        <f t="shared" si="2"/>
        <v>16167124</v>
      </c>
    </row>
    <row r="16" spans="1:14" ht="15.75" x14ac:dyDescent="0.25">
      <c r="A16" s="114"/>
      <c r="B16" s="19" t="s">
        <v>71</v>
      </c>
      <c r="C16" s="20">
        <v>1</v>
      </c>
      <c r="D16" s="21">
        <v>174124</v>
      </c>
      <c r="E16" s="22">
        <v>3</v>
      </c>
      <c r="F16" s="21">
        <f>301036+174124+174124</f>
        <v>649284</v>
      </c>
      <c r="G16" s="22">
        <v>2</v>
      </c>
      <c r="H16" s="21">
        <f>301036+174124</f>
        <v>475160</v>
      </c>
      <c r="I16" s="22">
        <v>2</v>
      </c>
      <c r="J16" s="21">
        <f>301036+301036</f>
        <v>602072</v>
      </c>
      <c r="K16" s="22"/>
      <c r="L16" s="29">
        <f t="shared" si="2"/>
        <v>1900640</v>
      </c>
      <c r="N16" s="13">
        <f>+L15+L16</f>
        <v>18067764</v>
      </c>
    </row>
    <row r="17" spans="1:14" s="33" customFormat="1" ht="15.75" x14ac:dyDescent="0.25">
      <c r="A17" s="114"/>
      <c r="B17" s="19" t="s">
        <v>34</v>
      </c>
      <c r="C17" s="28">
        <v>0</v>
      </c>
      <c r="D17" s="29"/>
      <c r="E17" s="31"/>
      <c r="F17" s="29"/>
      <c r="G17" s="31"/>
      <c r="H17" s="29"/>
      <c r="I17" s="31"/>
      <c r="J17" s="29"/>
      <c r="K17" s="31"/>
      <c r="L17" s="29">
        <f t="shared" si="2"/>
        <v>0</v>
      </c>
    </row>
    <row r="18" spans="1:14" ht="15.75" x14ac:dyDescent="0.25">
      <c r="A18" s="114"/>
      <c r="B18" s="19" t="s">
        <v>35</v>
      </c>
      <c r="C18" s="20"/>
      <c r="D18" s="21"/>
      <c r="E18" s="22"/>
      <c r="F18" s="21"/>
      <c r="G18" s="22"/>
      <c r="H18" s="21"/>
      <c r="I18" s="22"/>
      <c r="J18" s="21"/>
      <c r="K18" s="22"/>
      <c r="L18" s="29">
        <f t="shared" si="2"/>
        <v>0</v>
      </c>
    </row>
    <row r="19" spans="1:14" ht="15.75" x14ac:dyDescent="0.25">
      <c r="A19" s="114"/>
      <c r="B19" s="19" t="s">
        <v>36</v>
      </c>
      <c r="C19" s="20"/>
      <c r="D19" s="21"/>
      <c r="E19" s="22"/>
      <c r="F19" s="21"/>
      <c r="G19" s="22"/>
      <c r="H19" s="21"/>
      <c r="I19" s="22"/>
      <c r="J19" s="21"/>
      <c r="K19" s="22"/>
      <c r="L19" s="29">
        <f t="shared" si="2"/>
        <v>0</v>
      </c>
    </row>
    <row r="20" spans="1:14" ht="15.75" x14ac:dyDescent="0.25">
      <c r="A20" s="114"/>
      <c r="B20" s="19" t="s">
        <v>37</v>
      </c>
      <c r="C20" s="20"/>
      <c r="D20" s="21"/>
      <c r="E20" s="22"/>
      <c r="F20" s="21"/>
      <c r="G20" s="22"/>
      <c r="H20" s="21"/>
      <c r="I20" s="22"/>
      <c r="J20" s="21"/>
      <c r="K20" s="22"/>
      <c r="L20" s="29">
        <f t="shared" si="2"/>
        <v>0</v>
      </c>
    </row>
    <row r="21" spans="1:14" s="33" customFormat="1" ht="15.75" x14ac:dyDescent="0.25">
      <c r="A21" s="114"/>
      <c r="B21" s="38" t="s">
        <v>38</v>
      </c>
      <c r="C21" s="20">
        <v>4</v>
      </c>
      <c r="D21" s="21">
        <f>67453+45515+934088+3459041</f>
        <v>4506097</v>
      </c>
      <c r="E21" s="22">
        <v>8</v>
      </c>
      <c r="F21" s="21">
        <v>9565833</v>
      </c>
      <c r="G21" s="22">
        <v>9</v>
      </c>
      <c r="H21" s="21">
        <v>4330053</v>
      </c>
      <c r="I21" s="22">
        <v>1</v>
      </c>
      <c r="J21" s="21">
        <v>677824</v>
      </c>
      <c r="K21" s="22"/>
      <c r="L21" s="21">
        <f t="shared" si="2"/>
        <v>19079807</v>
      </c>
    </row>
    <row r="22" spans="1:14" s="33" customFormat="1" ht="15.75" x14ac:dyDescent="0.25">
      <c r="A22" s="114"/>
      <c r="B22" s="18" t="s">
        <v>39</v>
      </c>
      <c r="C22" s="28">
        <f>SUM(C13:C21)-C15</f>
        <v>5</v>
      </c>
      <c r="D22" s="29">
        <f>SUM(D13:D21)</f>
        <v>8147977</v>
      </c>
      <c r="E22" s="28">
        <f>SUM(E13:E21)-E15</f>
        <v>11</v>
      </c>
      <c r="F22" s="29">
        <f>SUM(F13:F21)</f>
        <v>13856997</v>
      </c>
      <c r="G22" s="28">
        <f>SUM(G13:G21)-G15</f>
        <v>11</v>
      </c>
      <c r="H22" s="29">
        <f>SUM(H13:H21)</f>
        <v>9096377</v>
      </c>
      <c r="I22" s="28">
        <f>SUM(I13:I21)-I15</f>
        <v>3</v>
      </c>
      <c r="J22" s="29">
        <f>SUM(J13:J21)</f>
        <v>6046220</v>
      </c>
      <c r="K22" s="31">
        <f>SUM(K13:K21)</f>
        <v>0</v>
      </c>
      <c r="L22" s="29">
        <f t="shared" si="2"/>
        <v>37147571</v>
      </c>
      <c r="N22" s="32">
        <f>+L22-L21</f>
        <v>18067764</v>
      </c>
    </row>
    <row r="23" spans="1:14" x14ac:dyDescent="0.25">
      <c r="A23" s="116" t="s">
        <v>40</v>
      </c>
      <c r="B23" s="116"/>
      <c r="C23" s="34">
        <f t="shared" ref="C23:J23" si="3">+C11-C22</f>
        <v>560</v>
      </c>
      <c r="D23" s="39">
        <f t="shared" si="3"/>
        <v>140587285</v>
      </c>
      <c r="E23" s="34">
        <f t="shared" si="3"/>
        <v>658</v>
      </c>
      <c r="F23" s="39">
        <f t="shared" si="3"/>
        <v>134468748</v>
      </c>
      <c r="G23" s="34">
        <f t="shared" si="3"/>
        <v>737</v>
      </c>
      <c r="H23" s="39">
        <f t="shared" si="3"/>
        <v>161615874</v>
      </c>
      <c r="I23" s="34">
        <f t="shared" si="3"/>
        <v>785</v>
      </c>
      <c r="J23" s="39">
        <f t="shared" si="3"/>
        <v>168519815</v>
      </c>
      <c r="K23" s="34">
        <f>SUM(K13:K22)</f>
        <v>0</v>
      </c>
      <c r="L23" s="35">
        <f>L11-L22</f>
        <v>605191722</v>
      </c>
    </row>
    <row r="24" spans="1:14" x14ac:dyDescent="0.25">
      <c r="A24" s="115" t="s">
        <v>72</v>
      </c>
      <c r="B24" s="115"/>
      <c r="C24" s="40"/>
      <c r="D24" s="41"/>
      <c r="E24" s="40"/>
      <c r="F24" s="41"/>
      <c r="G24" s="40"/>
      <c r="H24" s="41"/>
      <c r="I24" s="40"/>
      <c r="J24" s="41"/>
      <c r="K24" s="40"/>
      <c r="L24" s="41"/>
    </row>
    <row r="25" spans="1:14" x14ac:dyDescent="0.25">
      <c r="F25" s="32"/>
      <c r="H25" s="32"/>
      <c r="J25" s="32"/>
    </row>
    <row r="26" spans="1:14" x14ac:dyDescent="0.25">
      <c r="G26" s="44"/>
      <c r="H26" s="45"/>
      <c r="L26" s="13">
        <f>+L11-L23</f>
        <v>37147571</v>
      </c>
    </row>
    <row r="27" spans="1:14" x14ac:dyDescent="0.25">
      <c r="H27" s="32"/>
      <c r="J27" s="32">
        <f>5241484-174124+301036</f>
        <v>5368396</v>
      </c>
    </row>
    <row r="28" spans="1:14" x14ac:dyDescent="0.25">
      <c r="H28" s="13">
        <f>+D11+F11+H11</f>
        <v>467773258</v>
      </c>
      <c r="J28" s="13">
        <f>+D11+F11+H11+J11</f>
        <v>642339293</v>
      </c>
      <c r="L28" s="13">
        <f>4766324-4512500</f>
        <v>253824</v>
      </c>
    </row>
    <row r="29" spans="1:14" x14ac:dyDescent="0.25">
      <c r="F29" s="13">
        <f>222778367+496344997+446378679</f>
        <v>1165502043</v>
      </c>
      <c r="G29" s="65"/>
      <c r="H29" s="47">
        <f>+D23+F23+H23</f>
        <v>436671907</v>
      </c>
      <c r="J29" s="77">
        <f>+D23+F23+H23+J23</f>
        <v>605191722</v>
      </c>
      <c r="L29" s="13">
        <f>+L28-174124</f>
        <v>79700</v>
      </c>
    </row>
  </sheetData>
  <mergeCells count="14">
    <mergeCell ref="C2:L2"/>
    <mergeCell ref="B4:D4"/>
    <mergeCell ref="B5:D5"/>
    <mergeCell ref="A6:B6"/>
    <mergeCell ref="C6:D6"/>
    <mergeCell ref="E6:F6"/>
    <mergeCell ref="G6:H6"/>
    <mergeCell ref="I6:J6"/>
    <mergeCell ref="K6:L6"/>
    <mergeCell ref="A8:A11"/>
    <mergeCell ref="A12:B12"/>
    <mergeCell ref="A13:A22"/>
    <mergeCell ref="A23:B23"/>
    <mergeCell ref="A24:B24"/>
  </mergeCells>
  <pageMargins left="0.7" right="0.7" top="0.75" bottom="0.75" header="0.3" footer="0.3"/>
  <pageSetup scale="6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29"/>
  <sheetViews>
    <sheetView workbookViewId="0">
      <pane xSplit="1" topLeftCell="B1" activePane="topRight" state="frozen"/>
      <selection pane="topRight" activeCell="N9" sqref="N9"/>
    </sheetView>
  </sheetViews>
  <sheetFormatPr baseColWidth="10" defaultRowHeight="15" x14ac:dyDescent="0.25"/>
  <cols>
    <col min="1" max="1" width="4.42578125" style="2" customWidth="1"/>
    <col min="2" max="2" width="42.28515625" style="2" customWidth="1"/>
    <col min="3" max="3" width="11.28515625" style="2" bestFit="1" customWidth="1"/>
    <col min="4" max="4" width="16.7109375" style="13" customWidth="1"/>
    <col min="5" max="5" width="11.28515625" style="2" bestFit="1" customWidth="1"/>
    <col min="6" max="6" width="17.28515625" style="13" bestFit="1" customWidth="1"/>
    <col min="7" max="7" width="11.28515625" style="2" bestFit="1" customWidth="1"/>
    <col min="8" max="8" width="16.5703125" style="13" customWidth="1"/>
    <col min="9" max="9" width="11.28515625" style="2" bestFit="1" customWidth="1"/>
    <col min="10" max="10" width="16.42578125" style="13" bestFit="1" customWidth="1"/>
    <col min="11" max="11" width="11.28515625" style="2" bestFit="1" customWidth="1"/>
    <col min="12" max="12" width="16.42578125" style="13" bestFit="1" customWidth="1"/>
    <col min="13" max="13" width="15.7109375" style="2" bestFit="1" customWidth="1"/>
    <col min="14" max="14" width="12.28515625" style="2" bestFit="1" customWidth="1"/>
    <col min="15" max="16384" width="11.42578125" style="2"/>
  </cols>
  <sheetData>
    <row r="1" spans="1:14" ht="15.75" thickBot="1" x14ac:dyDescent="0.3">
      <c r="D1" s="2"/>
      <c r="F1" s="2"/>
      <c r="H1" s="2"/>
      <c r="J1" s="2"/>
      <c r="L1" s="2"/>
    </row>
    <row r="2" spans="1:14" ht="19.5" thickBot="1" x14ac:dyDescent="0.35">
      <c r="C2" s="117" t="s">
        <v>16</v>
      </c>
      <c r="D2" s="118"/>
      <c r="E2" s="118"/>
      <c r="F2" s="118"/>
      <c r="G2" s="118"/>
      <c r="H2" s="118"/>
      <c r="I2" s="118"/>
      <c r="J2" s="118"/>
      <c r="K2" s="118"/>
      <c r="L2" s="119"/>
    </row>
    <row r="3" spans="1:14" ht="10.5" customHeight="1" thickBot="1" x14ac:dyDescent="0.35">
      <c r="C3" s="14"/>
      <c r="D3" s="15"/>
      <c r="E3" s="15"/>
      <c r="F3" s="15"/>
      <c r="G3" s="15"/>
      <c r="H3" s="15"/>
      <c r="I3" s="15"/>
      <c r="J3" s="15"/>
      <c r="K3" s="15"/>
      <c r="L3" s="15"/>
    </row>
    <row r="4" spans="1:14" ht="31.5" customHeight="1" thickBot="1" x14ac:dyDescent="0.3">
      <c r="B4" s="120" t="s">
        <v>17</v>
      </c>
      <c r="C4" s="121"/>
      <c r="D4" s="122"/>
      <c r="E4" s="15"/>
      <c r="F4" s="15"/>
      <c r="G4" s="15"/>
      <c r="H4" s="16"/>
      <c r="I4" s="15"/>
      <c r="J4" s="15"/>
      <c r="K4" s="15"/>
      <c r="L4" s="15"/>
    </row>
    <row r="5" spans="1:14" x14ac:dyDescent="0.25">
      <c r="B5" s="123"/>
      <c r="C5" s="123"/>
      <c r="D5" s="123"/>
      <c r="F5" s="2"/>
      <c r="H5" s="2"/>
      <c r="J5" s="2"/>
      <c r="L5" s="2"/>
    </row>
    <row r="6" spans="1:14" ht="15.75" x14ac:dyDescent="0.25">
      <c r="A6" s="124" t="s">
        <v>91</v>
      </c>
      <c r="B6" s="125"/>
      <c r="C6" s="126">
        <v>45382</v>
      </c>
      <c r="D6" s="127"/>
      <c r="E6" s="130">
        <v>45473</v>
      </c>
      <c r="F6" s="131"/>
      <c r="G6" s="130">
        <v>45565</v>
      </c>
      <c r="H6" s="131"/>
      <c r="I6" s="130">
        <v>45657</v>
      </c>
      <c r="J6" s="131"/>
      <c r="K6" s="130" t="s">
        <v>15</v>
      </c>
      <c r="L6" s="131"/>
    </row>
    <row r="7" spans="1:14" ht="15.75" x14ac:dyDescent="0.25">
      <c r="A7" s="17"/>
      <c r="B7" s="17"/>
      <c r="C7" s="18" t="s">
        <v>19</v>
      </c>
      <c r="D7" s="18" t="s">
        <v>20</v>
      </c>
      <c r="E7" s="18" t="s">
        <v>19</v>
      </c>
      <c r="F7" s="18" t="s">
        <v>20</v>
      </c>
      <c r="G7" s="18" t="s">
        <v>19</v>
      </c>
      <c r="H7" s="18" t="s">
        <v>20</v>
      </c>
      <c r="I7" s="18" t="s">
        <v>19</v>
      </c>
      <c r="J7" s="18" t="s">
        <v>20</v>
      </c>
      <c r="K7" s="18" t="s">
        <v>19</v>
      </c>
      <c r="L7" s="18" t="s">
        <v>20</v>
      </c>
    </row>
    <row r="8" spans="1:14" ht="15.75" x14ac:dyDescent="0.25">
      <c r="A8" s="114" t="s">
        <v>21</v>
      </c>
      <c r="B8" s="19" t="s">
        <v>69</v>
      </c>
      <c r="C8" s="20">
        <v>831</v>
      </c>
      <c r="D8" s="21">
        <f>157980231</f>
        <v>157980231</v>
      </c>
      <c r="E8" s="20">
        <v>1010</v>
      </c>
      <c r="F8" s="21">
        <v>171584484</v>
      </c>
      <c r="G8" s="20">
        <v>1034</v>
      </c>
      <c r="H8" s="21">
        <v>172600084</v>
      </c>
      <c r="I8" s="20">
        <v>1069</v>
      </c>
      <c r="J8" s="21">
        <v>181250034</v>
      </c>
      <c r="K8" s="20"/>
      <c r="L8" s="21">
        <f>D8+F8+H8+J8</f>
        <v>683414833</v>
      </c>
    </row>
    <row r="9" spans="1:14" ht="30.75" customHeight="1" x14ac:dyDescent="0.35">
      <c r="A9" s="114"/>
      <c r="B9" s="23" t="s">
        <v>23</v>
      </c>
      <c r="C9" s="24">
        <v>1</v>
      </c>
      <c r="D9" s="25">
        <v>11095800</v>
      </c>
      <c r="E9" s="24">
        <v>8</v>
      </c>
      <c r="F9" s="25">
        <f>10695800+1000000+223200+7000000+4000000+414500+8961100+402200+50000</f>
        <v>32746800</v>
      </c>
      <c r="G9" s="24">
        <v>5</v>
      </c>
      <c r="H9" s="25">
        <f>200000+70000+2857180+50000+272200</f>
        <v>3449380</v>
      </c>
      <c r="I9" s="24">
        <v>6</v>
      </c>
      <c r="J9" s="25">
        <f>874000+1665000+50000+7317400+6030278+5068300</f>
        <v>21004978</v>
      </c>
      <c r="K9" s="20"/>
      <c r="L9" s="25">
        <f>+D9+F9+H9+J9</f>
        <v>68296958</v>
      </c>
      <c r="M9" s="13">
        <f>+D11+F11+H11+J11</f>
        <v>751711791</v>
      </c>
      <c r="N9" s="111">
        <f>5670500-602200</f>
        <v>5068300</v>
      </c>
    </row>
    <row r="10" spans="1:14" ht="15.75" x14ac:dyDescent="0.25">
      <c r="A10" s="114"/>
      <c r="B10" s="19" t="s">
        <v>24</v>
      </c>
      <c r="C10" s="20"/>
      <c r="D10" s="21"/>
      <c r="E10" s="20"/>
      <c r="F10" s="21"/>
      <c r="G10" s="20"/>
      <c r="H10" s="21"/>
      <c r="I10" s="20"/>
      <c r="J10" s="21"/>
      <c r="K10" s="20"/>
      <c r="L10" s="21"/>
    </row>
    <row r="11" spans="1:14" s="33" customFormat="1" ht="15.75" x14ac:dyDescent="0.25">
      <c r="A11" s="114"/>
      <c r="B11" s="27" t="s">
        <v>25</v>
      </c>
      <c r="C11" s="28">
        <f>SUM(C8:C10)</f>
        <v>832</v>
      </c>
      <c r="D11" s="76">
        <f>SUM(D8:D10)</f>
        <v>169076031</v>
      </c>
      <c r="E11" s="28">
        <f t="shared" ref="E11:J11" si="0">SUM(E8:E10)</f>
        <v>1018</v>
      </c>
      <c r="F11" s="76">
        <f t="shared" si="0"/>
        <v>204331284</v>
      </c>
      <c r="G11" s="28">
        <f t="shared" si="0"/>
        <v>1039</v>
      </c>
      <c r="H11" s="76">
        <f t="shared" si="0"/>
        <v>176049464</v>
      </c>
      <c r="I11" s="28">
        <f t="shared" si="0"/>
        <v>1075</v>
      </c>
      <c r="J11" s="76">
        <f t="shared" si="0"/>
        <v>202255012</v>
      </c>
      <c r="K11" s="28">
        <f>SUM(K8:K10)</f>
        <v>0</v>
      </c>
      <c r="L11" s="76">
        <f>SUM(L8:L10)</f>
        <v>751711791</v>
      </c>
      <c r="M11" s="32">
        <f>+L11-751711791</f>
        <v>0</v>
      </c>
    </row>
    <row r="12" spans="1:14" x14ac:dyDescent="0.25">
      <c r="A12" s="115"/>
      <c r="B12" s="115"/>
      <c r="C12" s="34"/>
      <c r="D12" s="35"/>
      <c r="E12" s="34"/>
      <c r="F12" s="35"/>
      <c r="G12" s="34"/>
      <c r="H12" s="35"/>
      <c r="I12" s="34"/>
      <c r="J12" s="35"/>
      <c r="K12" s="34"/>
      <c r="L12" s="35"/>
    </row>
    <row r="13" spans="1:14" ht="15.75" x14ac:dyDescent="0.25">
      <c r="A13" s="114" t="s">
        <v>26</v>
      </c>
      <c r="B13" s="36" t="s">
        <v>27</v>
      </c>
      <c r="C13" s="20"/>
      <c r="D13" s="21"/>
      <c r="E13" s="20"/>
      <c r="F13" s="21"/>
      <c r="G13" s="20"/>
      <c r="H13" s="21"/>
      <c r="I13" s="20"/>
      <c r="J13" s="21"/>
      <c r="K13" s="20"/>
      <c r="L13" s="21"/>
    </row>
    <row r="14" spans="1:14" ht="15.75" x14ac:dyDescent="0.25">
      <c r="A14" s="114"/>
      <c r="B14" s="37" t="s">
        <v>28</v>
      </c>
      <c r="C14" s="20"/>
      <c r="D14" s="21"/>
      <c r="E14" s="20"/>
      <c r="F14" s="21"/>
      <c r="G14" s="20"/>
      <c r="H14" s="21"/>
      <c r="I14" s="20"/>
      <c r="J14" s="21"/>
      <c r="K14" s="20"/>
      <c r="L14" s="21"/>
    </row>
    <row r="15" spans="1:14" ht="15.75" x14ac:dyDescent="0.25">
      <c r="A15" s="114"/>
      <c r="B15" s="37" t="s">
        <v>70</v>
      </c>
      <c r="C15" s="20">
        <v>25</v>
      </c>
      <c r="D15" s="21">
        <f>4766324+602072</f>
        <v>5368396</v>
      </c>
      <c r="E15" s="20">
        <v>28</v>
      </c>
      <c r="F15" s="21">
        <f>4766324+602072+649284</f>
        <v>6017680</v>
      </c>
      <c r="G15" s="20">
        <v>36</v>
      </c>
      <c r="H15" s="21">
        <f>4766324+602072+649284+1900640</f>
        <v>7918320</v>
      </c>
      <c r="I15" s="20">
        <f>36+1</f>
        <v>37</v>
      </c>
      <c r="J15" s="21">
        <f>4766324+602072+649284+1900640</f>
        <v>7918320</v>
      </c>
      <c r="K15" s="20"/>
      <c r="L15" s="21">
        <f>D15+F15+H15+J15</f>
        <v>27222716</v>
      </c>
    </row>
    <row r="16" spans="1:14" ht="15.75" x14ac:dyDescent="0.25">
      <c r="A16" s="114"/>
      <c r="B16" s="19" t="s">
        <v>71</v>
      </c>
      <c r="C16" s="20">
        <v>3</v>
      </c>
      <c r="D16" s="21">
        <v>649284</v>
      </c>
      <c r="E16" s="20">
        <v>8</v>
      </c>
      <c r="F16" s="21">
        <v>1900640</v>
      </c>
      <c r="G16" s="20">
        <v>1</v>
      </c>
      <c r="H16" s="21">
        <v>0</v>
      </c>
      <c r="I16" s="20">
        <v>1</v>
      </c>
      <c r="J16" s="21">
        <v>0</v>
      </c>
      <c r="K16" s="20"/>
      <c r="L16" s="21">
        <f>+D16+F16+H16+J16</f>
        <v>2549924</v>
      </c>
    </row>
    <row r="17" spans="1:12" s="33" customFormat="1" ht="15.75" x14ac:dyDescent="0.25">
      <c r="A17" s="114"/>
      <c r="B17" s="19" t="s">
        <v>34</v>
      </c>
      <c r="C17" s="28">
        <v>0</v>
      </c>
      <c r="D17" s="29"/>
      <c r="E17" s="28">
        <v>0</v>
      </c>
      <c r="F17" s="29"/>
      <c r="G17" s="28">
        <v>0</v>
      </c>
      <c r="H17" s="29"/>
      <c r="I17" s="28">
        <v>0</v>
      </c>
      <c r="J17" s="29"/>
      <c r="K17" s="28">
        <v>0</v>
      </c>
      <c r="L17" s="29"/>
    </row>
    <row r="18" spans="1:12" ht="15.75" x14ac:dyDescent="0.25">
      <c r="A18" s="114"/>
      <c r="B18" s="19" t="s">
        <v>35</v>
      </c>
      <c r="C18" s="20"/>
      <c r="D18" s="21"/>
      <c r="E18" s="20"/>
      <c r="F18" s="21"/>
      <c r="G18" s="20"/>
      <c r="H18" s="21"/>
      <c r="I18" s="20"/>
      <c r="J18" s="21"/>
      <c r="K18" s="20"/>
      <c r="L18" s="21"/>
    </row>
    <row r="19" spans="1:12" ht="15.75" x14ac:dyDescent="0.25">
      <c r="A19" s="114"/>
      <c r="B19" s="19" t="s">
        <v>36</v>
      </c>
      <c r="C19" s="20"/>
      <c r="D19" s="21"/>
      <c r="E19" s="20"/>
      <c r="F19" s="21"/>
      <c r="G19" s="20"/>
      <c r="H19" s="21"/>
      <c r="I19" s="20"/>
      <c r="J19" s="21"/>
      <c r="K19" s="20"/>
      <c r="L19" s="21"/>
    </row>
    <row r="20" spans="1:12" ht="15.75" x14ac:dyDescent="0.25">
      <c r="A20" s="114"/>
      <c r="B20" s="19" t="s">
        <v>37</v>
      </c>
      <c r="C20" s="20"/>
      <c r="D20" s="21"/>
      <c r="E20" s="20"/>
      <c r="F20" s="21"/>
      <c r="G20" s="20"/>
      <c r="H20" s="21"/>
      <c r="I20" s="20"/>
      <c r="J20" s="21"/>
      <c r="K20" s="20"/>
      <c r="L20" s="21"/>
    </row>
    <row r="21" spans="1:12" s="33" customFormat="1" ht="15.75" x14ac:dyDescent="0.25">
      <c r="A21" s="114"/>
      <c r="B21" s="38" t="s">
        <v>38</v>
      </c>
      <c r="C21" s="20">
        <v>3</v>
      </c>
      <c r="D21" s="21">
        <v>1335404</v>
      </c>
      <c r="E21" s="20">
        <v>10</v>
      </c>
      <c r="F21" s="21">
        <v>3104190</v>
      </c>
      <c r="G21" s="20">
        <v>6</v>
      </c>
      <c r="H21" s="21">
        <v>9071282</v>
      </c>
      <c r="I21" s="20">
        <v>6</v>
      </c>
      <c r="J21" s="21">
        <v>2045222</v>
      </c>
      <c r="K21" s="20"/>
      <c r="L21" s="21">
        <f>D21+F21+H21+J21</f>
        <v>15556098</v>
      </c>
    </row>
    <row r="22" spans="1:12" s="33" customFormat="1" ht="15.75" x14ac:dyDescent="0.25">
      <c r="A22" s="114"/>
      <c r="B22" s="18" t="s">
        <v>39</v>
      </c>
      <c r="C22" s="28">
        <f>SUM(C13:C21)-C15</f>
        <v>6</v>
      </c>
      <c r="D22" s="29">
        <f>SUM(D13:D21)</f>
        <v>7353084</v>
      </c>
      <c r="E22" s="28">
        <f t="shared" ref="E22" si="1">SUM(E13:E21)-E15</f>
        <v>18</v>
      </c>
      <c r="F22" s="29">
        <f t="shared" ref="F22" si="2">SUM(F13:F21)</f>
        <v>11022510</v>
      </c>
      <c r="G22" s="28">
        <f t="shared" ref="G22" si="3">SUM(G13:G21)-G15</f>
        <v>7</v>
      </c>
      <c r="H22" s="29">
        <f>SUM(H13:H21)</f>
        <v>16989602</v>
      </c>
      <c r="I22" s="28">
        <f>SUM(I13:I21)-I15</f>
        <v>7</v>
      </c>
      <c r="J22" s="29">
        <f>SUM(J13:J21)</f>
        <v>9963542</v>
      </c>
      <c r="K22" s="28"/>
      <c r="L22" s="29">
        <f>SUM(L13:L21)</f>
        <v>45328738</v>
      </c>
    </row>
    <row r="23" spans="1:12" x14ac:dyDescent="0.25">
      <c r="A23" s="116" t="s">
        <v>40</v>
      </c>
      <c r="B23" s="116"/>
      <c r="C23" s="34">
        <f t="shared" ref="C23:J23" si="4">+C11-C22</f>
        <v>826</v>
      </c>
      <c r="D23" s="39">
        <f t="shared" si="4"/>
        <v>161722947</v>
      </c>
      <c r="E23" s="34">
        <f t="shared" si="4"/>
        <v>1000</v>
      </c>
      <c r="F23" s="39">
        <f t="shared" si="4"/>
        <v>193308774</v>
      </c>
      <c r="G23" s="34">
        <f t="shared" si="4"/>
        <v>1032</v>
      </c>
      <c r="H23" s="39">
        <f t="shared" si="4"/>
        <v>159059862</v>
      </c>
      <c r="I23" s="34">
        <f t="shared" si="4"/>
        <v>1068</v>
      </c>
      <c r="J23" s="39">
        <f t="shared" si="4"/>
        <v>192291470</v>
      </c>
      <c r="K23" s="34"/>
      <c r="L23" s="39">
        <f>+L11-L22</f>
        <v>706383053</v>
      </c>
    </row>
    <row r="24" spans="1:12" x14ac:dyDescent="0.25">
      <c r="A24" s="115" t="s">
        <v>92</v>
      </c>
      <c r="B24" s="115"/>
      <c r="C24" s="40"/>
      <c r="D24" s="41"/>
      <c r="E24" s="40"/>
      <c r="F24" s="41"/>
      <c r="G24" s="40"/>
      <c r="H24" s="41"/>
      <c r="I24" s="40"/>
      <c r="J24" s="41"/>
      <c r="K24" s="40"/>
      <c r="L24" s="41"/>
    </row>
    <row r="25" spans="1:12" x14ac:dyDescent="0.25">
      <c r="F25" s="32"/>
      <c r="H25" s="32"/>
      <c r="J25" s="32"/>
    </row>
    <row r="26" spans="1:12" x14ac:dyDescent="0.25">
      <c r="G26" s="44"/>
      <c r="H26" s="45"/>
    </row>
    <row r="27" spans="1:12" x14ac:dyDescent="0.25">
      <c r="H27" s="32"/>
      <c r="J27" s="32">
        <f>5241484-174124+301036</f>
        <v>5368396</v>
      </c>
      <c r="L27" s="13">
        <f>+D23+F23+H23+J23</f>
        <v>706383053</v>
      </c>
    </row>
    <row r="28" spans="1:12" x14ac:dyDescent="0.25">
      <c r="C28" s="2" t="s">
        <v>65</v>
      </c>
      <c r="H28" s="13">
        <f>+D11+F11+H11</f>
        <v>549456779</v>
      </c>
      <c r="J28" s="13">
        <f>+D11+F11+H11+J11</f>
        <v>751711791</v>
      </c>
      <c r="L28" s="13">
        <f>4766324-4512500</f>
        <v>253824</v>
      </c>
    </row>
    <row r="29" spans="1:12" x14ac:dyDescent="0.25">
      <c r="F29" s="13">
        <f>222778367+496344997+446378679</f>
        <v>1165502043</v>
      </c>
      <c r="G29" s="65"/>
      <c r="H29" s="47">
        <f>+D23+F23+H23</f>
        <v>514091583</v>
      </c>
      <c r="J29" s="77">
        <f>+D23+F23+H23+J23</f>
        <v>706383053</v>
      </c>
      <c r="L29" s="13">
        <f>+L28-174124</f>
        <v>79700</v>
      </c>
    </row>
  </sheetData>
  <mergeCells count="14">
    <mergeCell ref="A8:A11"/>
    <mergeCell ref="A12:B12"/>
    <mergeCell ref="A13:A22"/>
    <mergeCell ref="A23:B23"/>
    <mergeCell ref="A24:B24"/>
    <mergeCell ref="C2:L2"/>
    <mergeCell ref="B4:D4"/>
    <mergeCell ref="B5:D5"/>
    <mergeCell ref="A6:B6"/>
    <mergeCell ref="C6:D6"/>
    <mergeCell ref="E6:F6"/>
    <mergeCell ref="G6:H6"/>
    <mergeCell ref="I6:J6"/>
    <mergeCell ref="K6:L6"/>
  </mergeCells>
  <pageMargins left="0.7" right="0.7" top="0.75" bottom="0.75" header="0.3" footer="0.3"/>
  <pageSetup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2:L53"/>
  <sheetViews>
    <sheetView topLeftCell="A22" workbookViewId="0">
      <selection activeCell="J15" sqref="J15"/>
    </sheetView>
  </sheetViews>
  <sheetFormatPr baseColWidth="10" defaultColWidth="11.42578125" defaultRowHeight="15" x14ac:dyDescent="0.25"/>
  <cols>
    <col min="1" max="1" width="11.42578125" style="2"/>
    <col min="2" max="2" width="32.7109375" style="2" bestFit="1" customWidth="1"/>
    <col min="3" max="3" width="25.140625" style="2" bestFit="1" customWidth="1"/>
    <col min="4" max="4" width="20.7109375" style="2" bestFit="1" customWidth="1"/>
    <col min="5" max="5" width="20.42578125" style="2" bestFit="1" customWidth="1"/>
    <col min="6" max="6" width="17.28515625" style="2" customWidth="1"/>
    <col min="7" max="7" width="13.140625" style="2" customWidth="1"/>
    <col min="8" max="8" width="14" style="73" customWidth="1"/>
    <col min="9" max="9" width="16.5703125" style="2" customWidth="1"/>
    <col min="10" max="10" width="11.42578125" style="2" customWidth="1"/>
    <col min="11" max="11" width="15.7109375" style="2" bestFit="1" customWidth="1"/>
    <col min="12" max="16384" width="11.42578125" style="2"/>
  </cols>
  <sheetData>
    <row r="2" spans="2:12" ht="15.75" thickBot="1" x14ac:dyDescent="0.3"/>
    <row r="3" spans="2:12" ht="29.25" customHeight="1" thickBot="1" x14ac:dyDescent="0.3">
      <c r="B3" s="134" t="s">
        <v>90</v>
      </c>
      <c r="C3" s="135"/>
    </row>
    <row r="4" spans="2:12" x14ac:dyDescent="0.25">
      <c r="B4" s="93"/>
      <c r="C4" s="93"/>
    </row>
    <row r="5" spans="2:12" x14ac:dyDescent="0.25">
      <c r="B5" s="133" t="s">
        <v>59</v>
      </c>
      <c r="C5" s="133"/>
      <c r="D5" s="94"/>
      <c r="E5" s="94"/>
    </row>
    <row r="6" spans="2:12" ht="29.25" x14ac:dyDescent="0.25">
      <c r="B6" s="94"/>
      <c r="C6" s="94"/>
      <c r="D6" s="95" t="s">
        <v>58</v>
      </c>
      <c r="E6" s="96" t="s">
        <v>57</v>
      </c>
      <c r="F6" s="78"/>
    </row>
    <row r="7" spans="2:12" x14ac:dyDescent="0.25">
      <c r="B7" s="97" t="s">
        <v>42</v>
      </c>
      <c r="C7" s="98">
        <f>'Synthèse 2021'!D11</f>
        <v>38131200</v>
      </c>
      <c r="D7" s="99">
        <f>+C7*(1+ip)</f>
        <v>38460556.180828013</v>
      </c>
      <c r="E7" s="100"/>
      <c r="F7" s="71"/>
      <c r="H7" s="73">
        <f>+C7*(1+ip)^3</f>
        <v>39127827.502935551</v>
      </c>
    </row>
    <row r="8" spans="2:12" x14ac:dyDescent="0.25">
      <c r="B8" s="97" t="s">
        <v>43</v>
      </c>
      <c r="C8" s="98">
        <f>'Synthèse 2021'!F11</f>
        <v>36257410</v>
      </c>
      <c r="D8" s="99">
        <f>+D7+(C8*(1+ip))</f>
        <v>75031137.601719975</v>
      </c>
      <c r="E8" s="100"/>
      <c r="F8" s="71"/>
      <c r="H8" s="73">
        <f>+C8*(1+ip)^2</f>
        <v>36886457.843019888</v>
      </c>
    </row>
    <row r="9" spans="2:12" x14ac:dyDescent="0.25">
      <c r="B9" s="97" t="s">
        <v>44</v>
      </c>
      <c r="C9" s="98">
        <f>'Synthèse 2021'!H11</f>
        <v>53890977</v>
      </c>
      <c r="D9" s="99">
        <f>+D8+(C9*(1+ip))</f>
        <v>129387595.0053215</v>
      </c>
      <c r="E9" s="100"/>
      <c r="F9" s="71"/>
      <c r="H9" s="73">
        <f>+C9*(1+ip)^1</f>
        <v>54356457.40360152</v>
      </c>
    </row>
    <row r="10" spans="2:12" x14ac:dyDescent="0.25">
      <c r="B10" s="97" t="s">
        <v>45</v>
      </c>
      <c r="C10" s="98">
        <f>'Synthèse 2021'!J11</f>
        <v>94498780</v>
      </c>
      <c r="D10" s="101">
        <f>+D9+(C10*(1+ip))</f>
        <v>224702603.11442131</v>
      </c>
      <c r="E10" s="102">
        <f>+C11*(1+i)</f>
        <v>230575609.84499997</v>
      </c>
      <c r="F10" s="79">
        <f>+E10-D10</f>
        <v>5873006.730578661</v>
      </c>
      <c r="H10" s="73">
        <f>+C10</f>
        <v>94498780</v>
      </c>
      <c r="I10" s="13"/>
    </row>
    <row r="11" spans="2:12" x14ac:dyDescent="0.25">
      <c r="B11" s="103" t="s">
        <v>60</v>
      </c>
      <c r="C11" s="101">
        <f>SUM(C7:C10)</f>
        <v>222778367</v>
      </c>
      <c r="D11" s="104"/>
      <c r="E11" s="105"/>
      <c r="F11" s="71">
        <v>224869523</v>
      </c>
      <c r="G11" s="2" t="s">
        <v>61</v>
      </c>
      <c r="H11" s="74">
        <f>SUM(H7:H10)</f>
        <v>224869522.74955696</v>
      </c>
      <c r="I11" s="75">
        <f>+H11-D10</f>
        <v>166919.63513565063</v>
      </c>
    </row>
    <row r="12" spans="2:12" x14ac:dyDescent="0.25">
      <c r="B12" s="94"/>
      <c r="C12" s="94"/>
      <c r="D12" s="104"/>
      <c r="E12" s="105"/>
      <c r="F12" s="71">
        <f>+E10-F11</f>
        <v>5706086.844999969</v>
      </c>
    </row>
    <row r="13" spans="2:12" x14ac:dyDescent="0.25">
      <c r="B13" s="94"/>
      <c r="C13" s="94"/>
      <c r="D13" s="94"/>
      <c r="E13" s="106"/>
      <c r="F13" s="72"/>
    </row>
    <row r="14" spans="2:12" x14ac:dyDescent="0.25">
      <c r="B14" s="133" t="s">
        <v>64</v>
      </c>
      <c r="C14" s="133"/>
      <c r="D14" s="94"/>
      <c r="E14" s="106"/>
      <c r="F14" s="72"/>
      <c r="L14" s="2" t="s">
        <v>65</v>
      </c>
    </row>
    <row r="15" spans="2:12" ht="29.25" x14ac:dyDescent="0.25">
      <c r="B15" s="94"/>
      <c r="C15" s="94"/>
      <c r="D15" s="95" t="s">
        <v>58</v>
      </c>
      <c r="E15" s="96" t="s">
        <v>57</v>
      </c>
      <c r="F15" s="78"/>
      <c r="H15" s="73">
        <f>+H11*1.035</f>
        <v>232739956.04579145</v>
      </c>
    </row>
    <row r="16" spans="2:12" x14ac:dyDescent="0.25">
      <c r="B16" s="97" t="s">
        <v>42</v>
      </c>
      <c r="C16" s="98">
        <f>+'Synthèse 2022'!D11</f>
        <v>97747206</v>
      </c>
      <c r="D16" s="99">
        <f>+D10+(C16*(1+ip))</f>
        <v>323294095.32767367</v>
      </c>
      <c r="E16" s="100"/>
      <c r="F16" s="71"/>
      <c r="H16" s="73">
        <f>+C16*(1+ip)^3</f>
        <v>100302005.05785044</v>
      </c>
    </row>
    <row r="17" spans="2:10" x14ac:dyDescent="0.25">
      <c r="B17" s="97" t="s">
        <v>43</v>
      </c>
      <c r="C17" s="98">
        <f>+'Synthèse 2022'!F11</f>
        <v>112289156</v>
      </c>
      <c r="D17" s="99">
        <f>+D16+(C17*(1+ip))</f>
        <v>436553142.8487525</v>
      </c>
      <c r="E17" s="100"/>
      <c r="F17" s="71"/>
      <c r="H17" s="73">
        <f>+C17*(1+ip)^2</f>
        <v>114237316.42779459</v>
      </c>
    </row>
    <row r="18" spans="2:10" x14ac:dyDescent="0.25">
      <c r="B18" s="97" t="s">
        <v>44</v>
      </c>
      <c r="C18" s="98">
        <f>+'Synthèse 2022'!H11</f>
        <v>142213209</v>
      </c>
      <c r="D18" s="99">
        <f>+D17+(C18*(1+ip))</f>
        <v>579994710.76165152</v>
      </c>
      <c r="E18" s="100"/>
      <c r="F18" s="71"/>
      <c r="H18" s="73">
        <f>+C18*(1+ip)^1</f>
        <v>143441567.91289905</v>
      </c>
    </row>
    <row r="19" spans="2:10" x14ac:dyDescent="0.25">
      <c r="B19" s="97" t="s">
        <v>45</v>
      </c>
      <c r="C19" s="98">
        <f>+'Synthèse 2022'!J11</f>
        <v>161797144</v>
      </c>
      <c r="D19" s="101">
        <f>+D18+(C19*(1+ip))</f>
        <v>743189368.85553575</v>
      </c>
      <c r="E19" s="102">
        <f>+E10+(C20*(1+i))</f>
        <v>762613959.86999989</v>
      </c>
      <c r="F19" s="79"/>
      <c r="H19" s="73">
        <f>+C19</f>
        <v>161797144</v>
      </c>
      <c r="I19" s="13"/>
    </row>
    <row r="20" spans="2:10" x14ac:dyDescent="0.25">
      <c r="B20" s="103" t="s">
        <v>86</v>
      </c>
      <c r="C20" s="101">
        <f>SUM(C16:C19)</f>
        <v>514046715</v>
      </c>
      <c r="D20" s="104"/>
      <c r="E20" s="104"/>
      <c r="F20" s="13"/>
      <c r="G20" s="2" t="s">
        <v>63</v>
      </c>
      <c r="H20" s="74">
        <f>SUM(H15:H19)</f>
        <v>752517989.44433546</v>
      </c>
      <c r="I20" s="75">
        <f>+H20-D19</f>
        <v>9328620.588799715</v>
      </c>
      <c r="J20" s="73">
        <f>+'Synthèse 2022'!L21</f>
        <v>17701718</v>
      </c>
    </row>
    <row r="21" spans="2:10" x14ac:dyDescent="0.25">
      <c r="B21" s="94"/>
      <c r="C21" s="94"/>
      <c r="D21" s="94"/>
      <c r="E21" s="94"/>
      <c r="I21" s="73">
        <f>+H20-J20</f>
        <v>734816271.44433546</v>
      </c>
    </row>
    <row r="22" spans="2:10" x14ac:dyDescent="0.25">
      <c r="B22" s="94"/>
      <c r="C22" s="107" t="s">
        <v>63</v>
      </c>
      <c r="D22" s="101">
        <f>+D19-D10</f>
        <v>518486765.74111444</v>
      </c>
      <c r="E22" s="102">
        <f>E19-E10</f>
        <v>532038350.02499992</v>
      </c>
      <c r="G22" s="33" t="s">
        <v>62</v>
      </c>
      <c r="H22" s="74">
        <f>+H20-H11</f>
        <v>527648466.6947785</v>
      </c>
      <c r="I22" s="75">
        <f>+H22-D22</f>
        <v>9161700.9536640644</v>
      </c>
    </row>
    <row r="23" spans="2:10" x14ac:dyDescent="0.25">
      <c r="B23" s="94"/>
      <c r="C23" s="107" t="s">
        <v>87</v>
      </c>
      <c r="D23" s="101"/>
      <c r="E23" s="102">
        <f>+E22-'PM SDR sur solde'!E21</f>
        <v>18321278.129999876</v>
      </c>
      <c r="G23" s="33"/>
      <c r="H23" s="74"/>
      <c r="I23" s="75"/>
    </row>
    <row r="24" spans="2:10" x14ac:dyDescent="0.25">
      <c r="B24" s="94"/>
      <c r="C24" s="107" t="s">
        <v>62</v>
      </c>
      <c r="D24" s="103"/>
      <c r="E24" s="101">
        <f>+E22-E23</f>
        <v>513717071.89500004</v>
      </c>
      <c r="I24" s="74">
        <f>+I21-H11</f>
        <v>509946748.6947785</v>
      </c>
    </row>
    <row r="25" spans="2:10" x14ac:dyDescent="0.25">
      <c r="B25" s="94"/>
      <c r="C25" s="94"/>
      <c r="D25" s="94"/>
      <c r="E25" s="94"/>
    </row>
    <row r="26" spans="2:10" x14ac:dyDescent="0.25">
      <c r="B26" s="133" t="s">
        <v>67</v>
      </c>
      <c r="C26" s="133"/>
      <c r="D26" s="94"/>
      <c r="E26" s="106"/>
      <c r="F26" s="72"/>
    </row>
    <row r="27" spans="2:10" ht="29.25" x14ac:dyDescent="0.25">
      <c r="B27" s="94"/>
      <c r="C27" s="94"/>
      <c r="D27" s="95" t="s">
        <v>58</v>
      </c>
      <c r="E27" s="96" t="s">
        <v>57</v>
      </c>
      <c r="F27" s="78"/>
      <c r="H27" s="73">
        <f>+H24*1.035</f>
        <v>0</v>
      </c>
    </row>
    <row r="28" spans="2:10" x14ac:dyDescent="0.25">
      <c r="B28" s="97" t="s">
        <v>42</v>
      </c>
      <c r="C28" s="98">
        <f>+'Synthèse Année 2023 Corrigé'!D11</f>
        <v>148735262</v>
      </c>
      <c r="D28" s="99">
        <f>+D19+(C28*(1+ip))</f>
        <v>893209323.6490165</v>
      </c>
      <c r="E28" s="100"/>
      <c r="F28" s="71"/>
      <c r="H28" s="73">
        <f>+C28*(1+ip)^3</f>
        <v>152622725.61943829</v>
      </c>
    </row>
    <row r="29" spans="2:10" x14ac:dyDescent="0.25">
      <c r="B29" s="97" t="s">
        <v>43</v>
      </c>
      <c r="C29" s="98">
        <f>+'Synthèse Année 2023 Corrigé'!F11</f>
        <v>148325745</v>
      </c>
      <c r="D29" s="99">
        <f>+D28+(C29*(1+ip))</f>
        <v>1042816224.2615247</v>
      </c>
      <c r="E29" s="100"/>
      <c r="F29" s="71"/>
      <c r="H29" s="73">
        <f>+C29*(1+ip)^2</f>
        <v>150899122.13743392</v>
      </c>
    </row>
    <row r="30" spans="2:10" x14ac:dyDescent="0.25">
      <c r="B30" s="97" t="s">
        <v>44</v>
      </c>
      <c r="C30" s="98">
        <f>+'Synthèse Année 2023 Corrigé'!H11</f>
        <v>170712251</v>
      </c>
      <c r="D30" s="99">
        <f>+D29+(C30*(1+ip))</f>
        <v>1215002993.1106853</v>
      </c>
      <c r="E30" s="100"/>
      <c r="F30" s="71"/>
      <c r="H30" s="73">
        <f>+C30*(1+ip)^1</f>
        <v>172186768.84916061</v>
      </c>
    </row>
    <row r="31" spans="2:10" x14ac:dyDescent="0.25">
      <c r="B31" s="97" t="s">
        <v>45</v>
      </c>
      <c r="C31" s="98">
        <f>+'Synthèse Année 2023 Corrigé'!J11</f>
        <v>174566035</v>
      </c>
      <c r="D31" s="101">
        <f>+D30+(C31*(1+ip))</f>
        <v>1391076832.8110328</v>
      </c>
      <c r="E31" s="102">
        <f>+E19+(C32*(1+i))</f>
        <v>1427435128.125</v>
      </c>
      <c r="F31" s="79"/>
      <c r="H31" s="73">
        <f>+C31</f>
        <v>174566035</v>
      </c>
      <c r="I31" s="13"/>
    </row>
    <row r="32" spans="2:10" x14ac:dyDescent="0.25">
      <c r="B32" s="103" t="s">
        <v>73</v>
      </c>
      <c r="C32" s="101">
        <f>SUM(C28:C31)</f>
        <v>642339293</v>
      </c>
      <c r="D32" s="104"/>
      <c r="E32" s="104"/>
      <c r="F32" s="13">
        <f>+C32*(1+i)</f>
        <v>664821168.255</v>
      </c>
      <c r="G32" s="2" t="s">
        <v>63</v>
      </c>
      <c r="H32" s="74">
        <f>SUM(H27:H31)</f>
        <v>650274651.60603285</v>
      </c>
      <c r="I32" s="75">
        <f>+H32-D31</f>
        <v>-740802181.20499992</v>
      </c>
    </row>
    <row r="33" spans="2:11" x14ac:dyDescent="0.25">
      <c r="B33" s="94"/>
      <c r="C33" s="94"/>
      <c r="D33" s="94"/>
      <c r="E33" s="94"/>
    </row>
    <row r="34" spans="2:11" x14ac:dyDescent="0.25">
      <c r="B34" s="94"/>
      <c r="C34" s="107" t="s">
        <v>88</v>
      </c>
      <c r="D34" s="101">
        <f>+D31-D19</f>
        <v>647887463.95549703</v>
      </c>
      <c r="E34" s="102">
        <f>+E31-E19</f>
        <v>664821168.25500011</v>
      </c>
      <c r="G34" s="33" t="s">
        <v>66</v>
      </c>
      <c r="H34" s="74">
        <f>+H32-H24</f>
        <v>650274651.60603285</v>
      </c>
      <c r="I34" s="75">
        <f>+H34-D34</f>
        <v>2387187.6505358219</v>
      </c>
    </row>
    <row r="35" spans="2:11" x14ac:dyDescent="0.25">
      <c r="B35" s="94"/>
      <c r="C35" s="107" t="s">
        <v>89</v>
      </c>
      <c r="D35" s="103"/>
      <c r="E35" s="101">
        <f>+E34-'PM SDR sur solde'!E32</f>
        <v>38447735.985000134</v>
      </c>
    </row>
    <row r="36" spans="2:11" x14ac:dyDescent="0.25">
      <c r="B36" s="94"/>
      <c r="C36" s="108" t="s">
        <v>66</v>
      </c>
      <c r="D36" s="101"/>
      <c r="E36" s="101">
        <f>+E34-E35</f>
        <v>626373432.26999998</v>
      </c>
      <c r="F36" s="32">
        <f>+E36+E24+E10</f>
        <v>1370666114.01</v>
      </c>
    </row>
    <row r="37" spans="2:11" x14ac:dyDescent="0.25">
      <c r="B37" s="94"/>
      <c r="C37" s="109"/>
      <c r="D37" s="110"/>
      <c r="E37" s="110"/>
      <c r="F37" s="32">
        <f>+F36-1362882327</f>
        <v>7783787.0099999905</v>
      </c>
    </row>
    <row r="38" spans="2:11" x14ac:dyDescent="0.25">
      <c r="B38" s="133" t="s">
        <v>93</v>
      </c>
      <c r="C38" s="133"/>
      <c r="D38" s="94"/>
      <c r="E38" s="106"/>
      <c r="F38" s="32">
        <f>+F37-F10</f>
        <v>1910780.2794213295</v>
      </c>
    </row>
    <row r="39" spans="2:11" ht="29.25" x14ac:dyDescent="0.25">
      <c r="B39" s="94"/>
      <c r="C39" s="94"/>
      <c r="D39" s="95" t="s">
        <v>58</v>
      </c>
      <c r="E39" s="96" t="s">
        <v>57</v>
      </c>
      <c r="F39" s="32"/>
    </row>
    <row r="40" spans="2:11" x14ac:dyDescent="0.25">
      <c r="B40" s="97" t="s">
        <v>42</v>
      </c>
      <c r="C40" s="98">
        <f>+'Synthèse Année 2024'!D11</f>
        <v>169076031</v>
      </c>
      <c r="D40" s="99">
        <f>+D31+(C40*(1+ip))</f>
        <v>1561613248.898303</v>
      </c>
      <c r="E40" s="100"/>
      <c r="F40" s="32"/>
    </row>
    <row r="41" spans="2:11" x14ac:dyDescent="0.25">
      <c r="B41" s="97" t="s">
        <v>43</v>
      </c>
      <c r="C41" s="98">
        <f>+'Synthèse Année 2024'!F11</f>
        <v>204331284</v>
      </c>
      <c r="D41" s="99">
        <f>+D40+(C41*(1+ip))</f>
        <v>1767709433.3294964</v>
      </c>
      <c r="E41" s="100"/>
      <c r="F41" s="32"/>
    </row>
    <row r="42" spans="2:11" x14ac:dyDescent="0.25">
      <c r="B42" s="97" t="s">
        <v>44</v>
      </c>
      <c r="C42" s="98">
        <f>+'Synthèse Année 2024'!H11</f>
        <v>176049464</v>
      </c>
      <c r="D42" s="99">
        <f>+D41+(C42*(1+ip))</f>
        <v>1945279515.0677228</v>
      </c>
      <c r="E42" s="100"/>
      <c r="F42" s="32"/>
    </row>
    <row r="43" spans="2:11" x14ac:dyDescent="0.25">
      <c r="B43" s="97" t="s">
        <v>45</v>
      </c>
      <c r="C43" s="98">
        <f>+'Synthèse Année 2024'!J11</f>
        <v>202255012</v>
      </c>
      <c r="D43" s="101">
        <f>+D42+(C43*(1+ip))</f>
        <v>2149281493.8116398</v>
      </c>
      <c r="E43" s="102">
        <f>+E31+(C44*(1+i))</f>
        <v>2205456831.8099999</v>
      </c>
      <c r="F43" s="32"/>
      <c r="K43" s="2" t="s">
        <v>65</v>
      </c>
    </row>
    <row r="44" spans="2:11" x14ac:dyDescent="0.25">
      <c r="B44" s="103" t="s">
        <v>94</v>
      </c>
      <c r="C44" s="101">
        <f>SUM(C40:C43)</f>
        <v>751711791</v>
      </c>
      <c r="D44" s="104"/>
      <c r="E44" s="104"/>
      <c r="F44" s="32"/>
    </row>
    <row r="45" spans="2:11" x14ac:dyDescent="0.25">
      <c r="B45" s="94"/>
      <c r="C45" s="94"/>
      <c r="D45" s="94"/>
      <c r="E45" s="94"/>
      <c r="F45" s="32"/>
    </row>
    <row r="46" spans="2:11" x14ac:dyDescent="0.25">
      <c r="B46" s="94"/>
      <c r="C46" s="107" t="s">
        <v>95</v>
      </c>
      <c r="D46" s="101">
        <f>+D43-D31</f>
        <v>758204661.00060701</v>
      </c>
      <c r="E46" s="102">
        <f>+E43-E31</f>
        <v>778021703.68499994</v>
      </c>
      <c r="F46" s="32"/>
    </row>
    <row r="47" spans="2:11" x14ac:dyDescent="0.25">
      <c r="B47" s="94"/>
      <c r="C47" s="107" t="s">
        <v>96</v>
      </c>
      <c r="D47" s="103"/>
      <c r="E47" s="101">
        <f>+E46-'PM SDR sur solde'!E43</f>
        <v>46915243.830000162</v>
      </c>
      <c r="F47" s="32"/>
    </row>
    <row r="48" spans="2:11" x14ac:dyDescent="0.25">
      <c r="B48" s="94"/>
      <c r="C48" s="108" t="s">
        <v>97</v>
      </c>
      <c r="D48" s="101"/>
      <c r="E48" s="101">
        <f>+E46-E47</f>
        <v>731106459.85499978</v>
      </c>
      <c r="F48" s="32"/>
      <c r="K48" s="13"/>
    </row>
    <row r="49" spans="2:12" x14ac:dyDescent="0.25">
      <c r="B49" s="94"/>
      <c r="C49" s="94"/>
      <c r="D49" s="94"/>
      <c r="E49" s="94"/>
    </row>
    <row r="50" spans="2:12" x14ac:dyDescent="0.25">
      <c r="B50" s="94"/>
      <c r="C50" s="103" t="s">
        <v>98</v>
      </c>
      <c r="D50" s="103"/>
      <c r="E50" s="101">
        <f>+E36+E24+E10+E48</f>
        <v>2101772573.8649998</v>
      </c>
      <c r="K50" s="13"/>
    </row>
    <row r="52" spans="2:12" x14ac:dyDescent="0.25">
      <c r="C52" s="132" t="s">
        <v>99</v>
      </c>
      <c r="D52" s="132"/>
      <c r="E52" s="101">
        <f>+E50-2093988787</f>
        <v>7783786.8649997711</v>
      </c>
      <c r="F52" s="13"/>
      <c r="L52" s="113">
        <f>+E52/E50</f>
        <v>3.7034391645362368E-3</v>
      </c>
    </row>
    <row r="53" spans="2:12" x14ac:dyDescent="0.25">
      <c r="L53" s="112"/>
    </row>
  </sheetData>
  <mergeCells count="6">
    <mergeCell ref="B3:C3"/>
    <mergeCell ref="C52:D52"/>
    <mergeCell ref="B38:C38"/>
    <mergeCell ref="B5:C5"/>
    <mergeCell ref="B14:C14"/>
    <mergeCell ref="B26:C2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2:L44"/>
  <sheetViews>
    <sheetView topLeftCell="A10" workbookViewId="0">
      <selection activeCell="D26" sqref="D26"/>
    </sheetView>
  </sheetViews>
  <sheetFormatPr baseColWidth="10" defaultColWidth="11.42578125" defaultRowHeight="15" x14ac:dyDescent="0.25"/>
  <cols>
    <col min="1" max="1" width="11.42578125" style="2"/>
    <col min="2" max="2" width="32.7109375" style="2" bestFit="1" customWidth="1"/>
    <col min="3" max="3" width="32.85546875" style="2" customWidth="1"/>
    <col min="4" max="5" width="17.28515625" style="2" bestFit="1" customWidth="1"/>
    <col min="6" max="6" width="16.140625" style="2" customWidth="1"/>
    <col min="7" max="7" width="13.140625" style="2" customWidth="1"/>
    <col min="8" max="8" width="14" style="73" customWidth="1"/>
    <col min="9" max="9" width="16.5703125" style="2" customWidth="1"/>
    <col min="10" max="10" width="11.42578125" style="2" customWidth="1"/>
    <col min="11" max="16384" width="11.42578125" style="2"/>
  </cols>
  <sheetData>
    <row r="2" spans="2:12" x14ac:dyDescent="0.25">
      <c r="B2" s="33" t="s">
        <v>85</v>
      </c>
    </row>
    <row r="4" spans="2:12" x14ac:dyDescent="0.25">
      <c r="B4" s="123" t="s">
        <v>59</v>
      </c>
      <c r="C4" s="123"/>
    </row>
    <row r="5" spans="2:12" ht="30" x14ac:dyDescent="0.25">
      <c r="D5" s="67" t="s">
        <v>58</v>
      </c>
      <c r="E5" s="68" t="s">
        <v>57</v>
      </c>
      <c r="F5" s="78"/>
    </row>
    <row r="6" spans="2:12" x14ac:dyDescent="0.25">
      <c r="B6" s="48" t="s">
        <v>42</v>
      </c>
      <c r="C6" s="66">
        <f>+'Synthèse 2021'!D22</f>
        <v>38131200</v>
      </c>
      <c r="D6" s="49">
        <f>+C6*(1+ip)</f>
        <v>38460556.180828013</v>
      </c>
      <c r="E6" s="69"/>
      <c r="F6" s="71"/>
      <c r="H6" s="73">
        <f>+C6*(1+ip)^3</f>
        <v>39127827.502935551</v>
      </c>
    </row>
    <row r="7" spans="2:12" x14ac:dyDescent="0.25">
      <c r="B7" s="48" t="s">
        <v>43</v>
      </c>
      <c r="C7" s="66">
        <f>'Synthèse 2021'!F22</f>
        <v>36257410</v>
      </c>
      <c r="D7" s="49">
        <f>+D6+(C7*(1+ip))</f>
        <v>75031137.601719975</v>
      </c>
      <c r="E7" s="69"/>
      <c r="F7" s="71"/>
      <c r="H7" s="73">
        <f>+C7*(1+ip)^2</f>
        <v>36886457.843019888</v>
      </c>
    </row>
    <row r="8" spans="2:12" x14ac:dyDescent="0.25">
      <c r="B8" s="48" t="s">
        <v>44</v>
      </c>
      <c r="C8" s="66">
        <f>'Synthèse 2021'!H22</f>
        <v>53890977</v>
      </c>
      <c r="D8" s="49">
        <f>+D7+(C8*(1+ip))</f>
        <v>129387595.0053215</v>
      </c>
      <c r="E8" s="69"/>
      <c r="F8" s="71"/>
      <c r="H8" s="73">
        <f>+C8*(1+ip)^1</f>
        <v>54356457.40360152</v>
      </c>
    </row>
    <row r="9" spans="2:12" x14ac:dyDescent="0.25">
      <c r="B9" s="48" t="s">
        <v>45</v>
      </c>
      <c r="C9" s="66">
        <f>'Synthèse 2021'!J22</f>
        <v>94498780</v>
      </c>
      <c r="D9" s="51">
        <f>+D8+(C9*(1+ip))</f>
        <v>224702603.11442131</v>
      </c>
      <c r="E9" s="70">
        <f>+C10*(1+i)</f>
        <v>230575609.84499997</v>
      </c>
      <c r="F9" s="79"/>
      <c r="H9" s="73">
        <f>+C9</f>
        <v>94498780</v>
      </c>
      <c r="I9" s="13"/>
    </row>
    <row r="10" spans="2:12" x14ac:dyDescent="0.25">
      <c r="B10" s="50" t="s">
        <v>60</v>
      </c>
      <c r="C10" s="51">
        <f>SUM(C6:C9)</f>
        <v>222778367</v>
      </c>
      <c r="D10" s="13"/>
      <c r="E10" s="71"/>
      <c r="F10" s="71"/>
      <c r="G10" s="2" t="s">
        <v>61</v>
      </c>
      <c r="H10" s="74">
        <f>SUM(H6:H9)</f>
        <v>224869522.74955696</v>
      </c>
      <c r="I10" s="75">
        <f>+H10-D9</f>
        <v>166919.63513565063</v>
      </c>
    </row>
    <row r="11" spans="2:12" x14ac:dyDescent="0.25">
      <c r="D11" s="13"/>
      <c r="E11" s="71"/>
      <c r="F11" s="71"/>
    </row>
    <row r="12" spans="2:12" x14ac:dyDescent="0.25">
      <c r="E12" s="72"/>
      <c r="F12" s="72"/>
    </row>
    <row r="13" spans="2:12" x14ac:dyDescent="0.25">
      <c r="B13" s="123" t="s">
        <v>64</v>
      </c>
      <c r="C13" s="123"/>
      <c r="E13" s="72"/>
      <c r="F13" s="72"/>
      <c r="L13" s="2" t="s">
        <v>65</v>
      </c>
    </row>
    <row r="14" spans="2:12" ht="30" x14ac:dyDescent="0.25">
      <c r="D14" s="67" t="s">
        <v>58</v>
      </c>
      <c r="E14" s="68" t="s">
        <v>57</v>
      </c>
      <c r="F14" s="78"/>
      <c r="H14" s="73">
        <f>+H10*1.035</f>
        <v>232739956.04579145</v>
      </c>
    </row>
    <row r="15" spans="2:12" x14ac:dyDescent="0.25">
      <c r="B15" s="48" t="s">
        <v>42</v>
      </c>
      <c r="C15" s="66">
        <f>+'Synthèse 2022'!D22</f>
        <v>94790234</v>
      </c>
      <c r="D15" s="49">
        <f>+D9+(C15*(1+ip))</f>
        <v>320311582.64170694</v>
      </c>
      <c r="E15" s="69"/>
      <c r="F15" s="71"/>
      <c r="H15" s="73">
        <f>+C15*(1+ip)^3</f>
        <v>97267747.275587872</v>
      </c>
    </row>
    <row r="16" spans="2:12" x14ac:dyDescent="0.25">
      <c r="B16" s="48" t="s">
        <v>43</v>
      </c>
      <c r="C16" s="66">
        <f>+'Synthèse 2022'!F22</f>
        <v>107784148</v>
      </c>
      <c r="D16" s="49">
        <f>+D15+(C16*(1+ip))</f>
        <v>429026710.39946651</v>
      </c>
      <c r="E16" s="69"/>
      <c r="F16" s="71"/>
      <c r="H16" s="73">
        <f>+C16*(1+ip)^2</f>
        <v>109654148.80290172</v>
      </c>
    </row>
    <row r="17" spans="2:10" x14ac:dyDescent="0.25">
      <c r="B17" s="48" t="s">
        <v>44</v>
      </c>
      <c r="C17" s="66">
        <f>+'Synthèse 2022'!H22</f>
        <v>136548578</v>
      </c>
      <c r="D17" s="49">
        <f>+D16+(C17*(1+ip))</f>
        <v>566754719.36800611</v>
      </c>
      <c r="E17" s="69"/>
      <c r="F17" s="71"/>
      <c r="H17" s="73">
        <f>+C17*(1+ip)^1</f>
        <v>137728008.96853957</v>
      </c>
    </row>
    <row r="18" spans="2:10" x14ac:dyDescent="0.25">
      <c r="B18" s="48" t="s">
        <v>45</v>
      </c>
      <c r="C18" s="66">
        <f>+'Synthèse 2022'!J22</f>
        <v>157222037</v>
      </c>
      <c r="D18" s="51">
        <f>+D17+(C18*(1+ip))</f>
        <v>725334753.22224414</v>
      </c>
      <c r="E18" s="70">
        <f>+E9+(C19*(1+i))</f>
        <v>744292681.74000001</v>
      </c>
      <c r="F18" s="79"/>
      <c r="H18" s="73">
        <f>+C18</f>
        <v>157222037</v>
      </c>
      <c r="I18" s="13"/>
    </row>
    <row r="19" spans="2:10" x14ac:dyDescent="0.25">
      <c r="B19" s="50" t="s">
        <v>86</v>
      </c>
      <c r="C19" s="51">
        <f>SUM(C15:C18)</f>
        <v>496344997</v>
      </c>
      <c r="D19" s="13"/>
      <c r="E19" s="13"/>
      <c r="F19" s="13"/>
      <c r="G19" s="2" t="s">
        <v>63</v>
      </c>
      <c r="H19" s="74">
        <f>SUM(H14:H18)</f>
        <v>734611898.09282064</v>
      </c>
      <c r="I19" s="75">
        <f>+H19-D18</f>
        <v>9277144.8705765009</v>
      </c>
      <c r="J19" s="73">
        <f>+'Synthèse 2022'!L21</f>
        <v>17701718</v>
      </c>
    </row>
    <row r="20" spans="2:10" x14ac:dyDescent="0.25">
      <c r="I20" s="73">
        <f>+H19-J19</f>
        <v>716910180.09282064</v>
      </c>
    </row>
    <row r="21" spans="2:10" x14ac:dyDescent="0.25">
      <c r="C21" s="80" t="s">
        <v>62</v>
      </c>
      <c r="D21" s="51">
        <f>+D18-D9</f>
        <v>500632150.10782284</v>
      </c>
      <c r="E21" s="70">
        <f>E18-E9</f>
        <v>513717071.89500004</v>
      </c>
      <c r="G21" s="33" t="s">
        <v>62</v>
      </c>
      <c r="H21" s="74">
        <f>+H19-H10</f>
        <v>509742375.34326369</v>
      </c>
      <c r="I21" s="75">
        <f>+H21-D21</f>
        <v>9110225.2354408503</v>
      </c>
    </row>
    <row r="22" spans="2:10" x14ac:dyDescent="0.25">
      <c r="I22" s="74">
        <f>+I20-H10</f>
        <v>492040657.34326369</v>
      </c>
    </row>
    <row r="24" spans="2:10" x14ac:dyDescent="0.25">
      <c r="B24" s="123" t="s">
        <v>67</v>
      </c>
      <c r="C24" s="123"/>
      <c r="E24" s="72"/>
      <c r="F24" s="72"/>
    </row>
    <row r="25" spans="2:10" ht="30" x14ac:dyDescent="0.25">
      <c r="D25" s="67" t="s">
        <v>58</v>
      </c>
      <c r="E25" s="68" t="s">
        <v>57</v>
      </c>
      <c r="F25" s="78"/>
      <c r="H25" s="73">
        <f>+H22*1.035</f>
        <v>0</v>
      </c>
    </row>
    <row r="26" spans="2:10" x14ac:dyDescent="0.25">
      <c r="B26" s="48" t="s">
        <v>42</v>
      </c>
      <c r="C26" s="66">
        <f>+'Synthèse Année 2023 Corrigé'!D23</f>
        <v>140587285</v>
      </c>
      <c r="D26" s="49">
        <f>+D18+(C26*(1+ip))</f>
        <v>867136353.30439675</v>
      </c>
      <c r="E26" s="69"/>
      <c r="F26" s="71"/>
      <c r="H26" s="73">
        <f>+C26*(1+ip)^3</f>
        <v>144261786.58384836</v>
      </c>
    </row>
    <row r="27" spans="2:10" x14ac:dyDescent="0.25">
      <c r="B27" s="48" t="s">
        <v>43</v>
      </c>
      <c r="C27" s="66">
        <f>+'Synthèse Année 2023 Corrigé'!F23</f>
        <v>134468748</v>
      </c>
      <c r="D27" s="49">
        <f>+D26+(C27*(1+ip))</f>
        <v>1002766567.8536268</v>
      </c>
      <c r="E27" s="69"/>
      <c r="F27" s="71"/>
      <c r="H27" s="73">
        <f>+C27*(1+ip)^2</f>
        <v>136801713.20305738</v>
      </c>
    </row>
    <row r="28" spans="2:10" x14ac:dyDescent="0.25">
      <c r="B28" s="48" t="s">
        <v>44</v>
      </c>
      <c r="C28" s="66">
        <f>+'Synthèse Année 2023 Corrigé'!H23</f>
        <v>161615874</v>
      </c>
      <c r="D28" s="49">
        <f>+D27+(C28*(1+ip))</f>
        <v>1165778390.2376752</v>
      </c>
      <c r="E28" s="69"/>
      <c r="F28" s="71"/>
      <c r="H28" s="73">
        <f>+C28*(1+ip)^1</f>
        <v>163011822.38404825</v>
      </c>
    </row>
    <row r="29" spans="2:10" x14ac:dyDescent="0.25">
      <c r="B29" s="48" t="s">
        <v>45</v>
      </c>
      <c r="C29" s="66">
        <f>+'Synthèse Année 2023 Corrigé'!J23</f>
        <v>168519815</v>
      </c>
      <c r="D29" s="51">
        <f>+D28+(C29*(1+ip))</f>
        <v>1335753786.0392823</v>
      </c>
      <c r="E29" s="70">
        <f>+E18+(C30*(1+i))</f>
        <v>1370666114.01</v>
      </c>
      <c r="F29" s="79"/>
      <c r="H29" s="73">
        <f>+C29</f>
        <v>168519815</v>
      </c>
      <c r="I29" s="13"/>
    </row>
    <row r="30" spans="2:10" x14ac:dyDescent="0.25">
      <c r="B30" s="50" t="s">
        <v>73</v>
      </c>
      <c r="C30" s="51">
        <f>SUM(C26:C29)</f>
        <v>605191722</v>
      </c>
      <c r="D30" s="13"/>
      <c r="E30" s="13"/>
      <c r="F30" s="13"/>
      <c r="G30" s="2" t="s">
        <v>63</v>
      </c>
      <c r="H30" s="74">
        <f>SUM(H25:H29)</f>
        <v>612595137.17095399</v>
      </c>
      <c r="I30" s="75">
        <f>+H30-D29</f>
        <v>-723158648.86832833</v>
      </c>
    </row>
    <row r="32" spans="2:10" x14ac:dyDescent="0.25">
      <c r="C32" s="80" t="s">
        <v>66</v>
      </c>
      <c r="D32" s="51">
        <f>+D29-D18</f>
        <v>610419032.81703818</v>
      </c>
      <c r="E32" s="70">
        <f>+E29-E18</f>
        <v>626373432.26999998</v>
      </c>
      <c r="G32" s="33" t="s">
        <v>66</v>
      </c>
      <c r="H32" s="74">
        <f>+H30-H22</f>
        <v>612595137.17095399</v>
      </c>
      <c r="I32" s="75">
        <f>+H32-D32</f>
        <v>2176104.3539158106</v>
      </c>
    </row>
    <row r="35" spans="2:9" x14ac:dyDescent="0.25">
      <c r="B35" s="123" t="s">
        <v>93</v>
      </c>
      <c r="C35" s="123"/>
      <c r="E35" s="72"/>
    </row>
    <row r="36" spans="2:9" ht="30" x14ac:dyDescent="0.25">
      <c r="D36" s="67" t="s">
        <v>58</v>
      </c>
      <c r="E36" s="68" t="s">
        <v>57</v>
      </c>
    </row>
    <row r="37" spans="2:9" x14ac:dyDescent="0.25">
      <c r="B37" s="48" t="s">
        <v>42</v>
      </c>
      <c r="C37" s="66">
        <f>+'Synthèse Année 2024'!D23</f>
        <v>161722947</v>
      </c>
      <c r="D37" s="49">
        <f>+D29+(C37*(1+ip))</f>
        <v>1498873606.2605858</v>
      </c>
      <c r="E37" s="69"/>
    </row>
    <row r="38" spans="2:9" x14ac:dyDescent="0.25">
      <c r="B38" s="48" t="s">
        <v>43</v>
      </c>
      <c r="C38" s="66">
        <f>+'Synthèse Année 2024'!F23</f>
        <v>193308774</v>
      </c>
      <c r="D38" s="49">
        <f>+D37+(C38*(1+ip))</f>
        <v>1693852074.356895</v>
      </c>
      <c r="E38" s="69"/>
    </row>
    <row r="39" spans="2:9" x14ac:dyDescent="0.25">
      <c r="B39" s="48" t="s">
        <v>44</v>
      </c>
      <c r="C39" s="66">
        <f>+'Synthèse Année 2024'!H23</f>
        <v>159059862</v>
      </c>
      <c r="D39" s="49">
        <f>+D38+(C39*(1+ip))</f>
        <v>1854285807.3253238</v>
      </c>
      <c r="E39" s="69"/>
    </row>
    <row r="40" spans="2:9" x14ac:dyDescent="0.25">
      <c r="B40" s="48" t="s">
        <v>45</v>
      </c>
      <c r="C40" s="66">
        <f>+'Synthèse Année 2024'!J23</f>
        <v>192291470</v>
      </c>
      <c r="D40" s="51">
        <f>+D39+(C40*(1+ip))</f>
        <v>2048238184.5132697</v>
      </c>
      <c r="E40" s="70">
        <f>+E29+(C41*(1+i))</f>
        <v>2101772573.8649998</v>
      </c>
    </row>
    <row r="41" spans="2:9" x14ac:dyDescent="0.25">
      <c r="B41" s="50" t="s">
        <v>94</v>
      </c>
      <c r="C41" s="51">
        <f>SUM(C37:C40)</f>
        <v>706383053</v>
      </c>
      <c r="D41" s="13"/>
      <c r="E41" s="13"/>
    </row>
    <row r="43" spans="2:9" x14ac:dyDescent="0.25">
      <c r="C43" s="80" t="s">
        <v>66</v>
      </c>
      <c r="D43" s="51">
        <f>+D40-D29</f>
        <v>712484398.47398734</v>
      </c>
      <c r="E43" s="70">
        <f>+E40-E29</f>
        <v>731106459.85499978</v>
      </c>
    </row>
    <row r="44" spans="2:9" x14ac:dyDescent="0.25">
      <c r="I44" s="2" t="s">
        <v>65</v>
      </c>
    </row>
  </sheetData>
  <mergeCells count="4">
    <mergeCell ref="B4:C4"/>
    <mergeCell ref="B13:C13"/>
    <mergeCell ref="B24:C24"/>
    <mergeCell ref="B35:C3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O11"/>
  <sheetViews>
    <sheetView workbookViewId="0">
      <selection activeCell="M22" sqref="M22"/>
    </sheetView>
  </sheetViews>
  <sheetFormatPr baseColWidth="10" defaultColWidth="11.5703125" defaultRowHeight="15" x14ac:dyDescent="0.25"/>
  <cols>
    <col min="1" max="5" width="11.5703125" style="2"/>
    <col min="6" max="6" width="21.5703125" style="2" customWidth="1"/>
    <col min="7" max="7" width="15.7109375" style="2" customWidth="1"/>
    <col min="8" max="8" width="11.5703125" style="2"/>
    <col min="9" max="9" width="13.5703125" style="2" bestFit="1" customWidth="1"/>
    <col min="10" max="10" width="12.7109375" style="2" bestFit="1" customWidth="1"/>
    <col min="11" max="11" width="11.5703125" style="2"/>
    <col min="12" max="12" width="12" style="2" customWidth="1"/>
    <col min="13" max="16384" width="11.5703125" style="2"/>
  </cols>
  <sheetData>
    <row r="2" spans="2:15" x14ac:dyDescent="0.25">
      <c r="B2" s="136" t="s">
        <v>75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</row>
    <row r="3" spans="2:15" x14ac:dyDescent="0.25">
      <c r="B3" s="140" t="s">
        <v>74</v>
      </c>
      <c r="C3" s="140"/>
      <c r="D3" s="140"/>
      <c r="E3" s="140"/>
      <c r="F3" s="140"/>
      <c r="G3" s="140"/>
      <c r="H3" s="140"/>
      <c r="I3" s="82" t="s">
        <v>84</v>
      </c>
      <c r="J3" s="82">
        <v>2023</v>
      </c>
      <c r="K3" s="82">
        <v>2022</v>
      </c>
      <c r="L3" s="82">
        <v>2021</v>
      </c>
    </row>
    <row r="4" spans="2:15" x14ac:dyDescent="0.25">
      <c r="B4" s="141" t="s">
        <v>81</v>
      </c>
      <c r="C4" s="141"/>
      <c r="D4" s="141"/>
      <c r="E4" s="141"/>
      <c r="F4" s="141"/>
      <c r="G4" s="141"/>
      <c r="H4" s="141"/>
      <c r="I4" s="91">
        <f>+SUM(J4:L4)</f>
        <v>1427435128.125</v>
      </c>
      <c r="J4" s="91">
        <f>+'PM AMAT-CI SDR sur entrée'!E34</f>
        <v>664821168.25500011</v>
      </c>
      <c r="K4" s="83">
        <f>+'PM AMAT-CI SDR sur entrée'!E22</f>
        <v>532038350.02499992</v>
      </c>
      <c r="L4" s="83">
        <f>+'PM AMAT-CI SDR sur entrée'!E10</f>
        <v>230575609.84499997</v>
      </c>
    </row>
    <row r="5" spans="2:15" x14ac:dyDescent="0.25">
      <c r="B5" s="142" t="s">
        <v>76</v>
      </c>
      <c r="C5" s="142"/>
      <c r="D5" s="142"/>
      <c r="E5" s="142"/>
      <c r="F5" s="142"/>
      <c r="G5" s="142"/>
      <c r="H5" s="142"/>
      <c r="I5" s="89"/>
      <c r="J5" s="89"/>
      <c r="K5" s="81">
        <v>0</v>
      </c>
      <c r="L5" s="84">
        <v>0</v>
      </c>
    </row>
    <row r="6" spans="2:15" x14ac:dyDescent="0.25">
      <c r="B6" s="142" t="s">
        <v>82</v>
      </c>
      <c r="C6" s="142"/>
      <c r="D6" s="142"/>
      <c r="E6" s="142"/>
      <c r="F6" s="142"/>
      <c r="G6" s="142"/>
      <c r="H6" s="142"/>
      <c r="I6" s="89"/>
      <c r="J6" s="89"/>
      <c r="K6" s="81">
        <v>0</v>
      </c>
      <c r="L6" s="81">
        <v>0</v>
      </c>
    </row>
    <row r="7" spans="2:15" x14ac:dyDescent="0.25">
      <c r="B7" s="142" t="s">
        <v>77</v>
      </c>
      <c r="C7" s="142"/>
      <c r="D7" s="142"/>
      <c r="E7" s="142"/>
      <c r="F7" s="142"/>
      <c r="G7" s="142"/>
      <c r="H7" s="142"/>
      <c r="I7" s="89"/>
      <c r="J7" s="89"/>
      <c r="K7" s="85"/>
      <c r="L7" s="85"/>
    </row>
    <row r="8" spans="2:15" x14ac:dyDescent="0.25">
      <c r="B8" s="142" t="s">
        <v>78</v>
      </c>
      <c r="C8" s="142"/>
      <c r="D8" s="142"/>
      <c r="E8" s="142"/>
      <c r="F8" s="142"/>
      <c r="G8" s="142"/>
      <c r="H8" s="142"/>
      <c r="I8" s="90"/>
      <c r="J8" s="90"/>
      <c r="K8" s="86"/>
      <c r="L8" s="86"/>
    </row>
    <row r="9" spans="2:15" x14ac:dyDescent="0.25">
      <c r="B9" s="137" t="s">
        <v>79</v>
      </c>
      <c r="C9" s="137"/>
      <c r="D9" s="137"/>
      <c r="E9" s="137"/>
      <c r="F9" s="137"/>
      <c r="G9" s="137"/>
      <c r="H9" s="137"/>
      <c r="I9" s="92">
        <f>+SUM(J9:L9)</f>
        <v>1427435128.125</v>
      </c>
      <c r="J9" s="87">
        <f t="shared" ref="J9:K9" si="0">+J4-J5-J6-J7-J8</f>
        <v>664821168.25500011</v>
      </c>
      <c r="K9" s="87">
        <f t="shared" si="0"/>
        <v>532038350.02499992</v>
      </c>
      <c r="L9" s="87">
        <f>+L4-L5-L6-L7-L8</f>
        <v>230575609.84499997</v>
      </c>
    </row>
    <row r="10" spans="2:15" x14ac:dyDescent="0.25">
      <c r="B10" s="88" t="s">
        <v>80</v>
      </c>
    </row>
    <row r="11" spans="2:15" ht="68.45" customHeight="1" x14ac:dyDescent="0.25">
      <c r="B11" s="138" t="s">
        <v>83</v>
      </c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O11" s="2" t="s">
        <v>65</v>
      </c>
    </row>
  </sheetData>
  <mergeCells count="9">
    <mergeCell ref="B2:L2"/>
    <mergeCell ref="B9:H9"/>
    <mergeCell ref="B11:L11"/>
    <mergeCell ref="B3:H3"/>
    <mergeCell ref="B4:H4"/>
    <mergeCell ref="B5:H5"/>
    <mergeCell ref="B6:H6"/>
    <mergeCell ref="B7:H7"/>
    <mergeCell ref="B8:H8"/>
  </mergeCells>
  <conditionalFormatting sqref="K4:L8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  <pageSetUpPr fitToPage="1"/>
  </sheetPr>
  <dimension ref="A1:F10"/>
  <sheetViews>
    <sheetView workbookViewId="0">
      <selection activeCell="D17" sqref="D17"/>
    </sheetView>
  </sheetViews>
  <sheetFormatPr baseColWidth="10" defaultColWidth="11.42578125" defaultRowHeight="15" x14ac:dyDescent="0.25"/>
  <cols>
    <col min="1" max="1" width="20.28515625" style="2" customWidth="1"/>
    <col min="2" max="2" width="8.42578125" style="2" customWidth="1"/>
    <col min="3" max="3" width="16.42578125" style="13" bestFit="1" customWidth="1"/>
    <col min="4" max="4" width="21.28515625" style="2" customWidth="1"/>
    <col min="5" max="5" width="9.85546875" style="2" customWidth="1"/>
    <col min="6" max="6" width="16.42578125" style="2" bestFit="1" customWidth="1"/>
    <col min="7" max="16384" width="11.42578125" style="2"/>
  </cols>
  <sheetData>
    <row r="1" spans="1:6" x14ac:dyDescent="0.25">
      <c r="C1" s="2"/>
    </row>
    <row r="2" spans="1:6" ht="10.5" customHeight="1" thickBot="1" x14ac:dyDescent="0.35">
      <c r="B2" s="14"/>
      <c r="C2" s="15"/>
    </row>
    <row r="3" spans="1:6" ht="31.5" customHeight="1" thickBot="1" x14ac:dyDescent="0.3">
      <c r="A3" s="120" t="s">
        <v>46</v>
      </c>
      <c r="B3" s="121"/>
      <c r="C3" s="121"/>
      <c r="D3" s="121"/>
      <c r="E3" s="121"/>
      <c r="F3" s="122"/>
    </row>
    <row r="4" spans="1:6" x14ac:dyDescent="0.25">
      <c r="A4" s="123"/>
      <c r="B4" s="123"/>
      <c r="C4" s="123"/>
    </row>
    <row r="5" spans="1:6" ht="15.75" x14ac:dyDescent="0.25">
      <c r="A5" s="126" t="s">
        <v>47</v>
      </c>
      <c r="B5" s="143"/>
      <c r="C5" s="144"/>
      <c r="D5" s="126" t="s">
        <v>48</v>
      </c>
      <c r="E5" s="143"/>
      <c r="F5" s="144"/>
    </row>
    <row r="6" spans="1:6" ht="15.75" x14ac:dyDescent="0.25">
      <c r="A6" s="17"/>
      <c r="B6" s="52" t="s">
        <v>49</v>
      </c>
      <c r="C6" s="52" t="s">
        <v>20</v>
      </c>
      <c r="D6" s="17"/>
      <c r="E6" s="52" t="s">
        <v>49</v>
      </c>
      <c r="F6" s="52" t="s">
        <v>20</v>
      </c>
    </row>
    <row r="7" spans="1:6" ht="15.75" customHeight="1" x14ac:dyDescent="0.25">
      <c r="A7" s="19" t="s">
        <v>50</v>
      </c>
      <c r="B7" s="53">
        <f>C7/$C$10</f>
        <v>0</v>
      </c>
      <c r="C7" s="21">
        <v>0</v>
      </c>
      <c r="D7" s="19" t="s">
        <v>51</v>
      </c>
      <c r="E7" s="53" t="e">
        <f>+F7/$F$10</f>
        <v>#REF!</v>
      </c>
      <c r="F7" s="21" t="e">
        <f>'PM AMAT-CI SDR sur entrée'!#REF!</f>
        <v>#REF!</v>
      </c>
    </row>
    <row r="8" spans="1:6" ht="15.75" x14ac:dyDescent="0.25">
      <c r="A8" s="23" t="s">
        <v>52</v>
      </c>
      <c r="B8" s="53">
        <f t="shared" ref="B8:B9" si="0">C8/$C$10</f>
        <v>0.95</v>
      </c>
      <c r="C8" s="25">
        <f>+C10*95%</f>
        <v>724483262</v>
      </c>
      <c r="D8" s="23" t="s">
        <v>53</v>
      </c>
      <c r="E8" s="53" t="e">
        <f>+F8/$F$10</f>
        <v>#REF!</v>
      </c>
      <c r="F8" s="25" t="e">
        <f>+C10-F7</f>
        <v>#REF!</v>
      </c>
    </row>
    <row r="9" spans="1:6" ht="15.75" x14ac:dyDescent="0.25">
      <c r="A9" s="19" t="s">
        <v>54</v>
      </c>
      <c r="B9" s="53">
        <f t="shared" si="0"/>
        <v>0.05</v>
      </c>
      <c r="C9" s="21">
        <f>+C10-C8</f>
        <v>38130698</v>
      </c>
      <c r="D9" s="19" t="s">
        <v>55</v>
      </c>
      <c r="E9" s="53">
        <f>+F9/$F$10</f>
        <v>0</v>
      </c>
      <c r="F9" s="21">
        <v>0</v>
      </c>
    </row>
    <row r="10" spans="1:6" s="33" customFormat="1" ht="15.75" x14ac:dyDescent="0.25">
      <c r="A10" s="27" t="s">
        <v>56</v>
      </c>
      <c r="B10" s="54">
        <v>1</v>
      </c>
      <c r="C10" s="29">
        <v>762613960</v>
      </c>
      <c r="D10" s="27" t="s">
        <v>15</v>
      </c>
      <c r="E10" s="54">
        <v>1</v>
      </c>
      <c r="F10" s="29">
        <f>C10</f>
        <v>762613960</v>
      </c>
    </row>
  </sheetData>
  <mergeCells count="4">
    <mergeCell ref="A3:F3"/>
    <mergeCell ref="A4:C4"/>
    <mergeCell ref="A5:C5"/>
    <mergeCell ref="D5:F5"/>
  </mergeCells>
  <pageMargins left="0.7" right="0.7" top="0.75" bottom="0.75" header="0.3" footer="0.3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6</vt:i4>
      </vt:variant>
    </vt:vector>
  </HeadingPairs>
  <TitlesOfParts>
    <vt:vector size="16" baseType="lpstr">
      <vt:lpstr>HYPPOTHESE ACTUARIELLE</vt:lpstr>
      <vt:lpstr>Synthèse 2021</vt:lpstr>
      <vt:lpstr>Synthèse 2022</vt:lpstr>
      <vt:lpstr>Synthèse 2023</vt:lpstr>
      <vt:lpstr>Synthèse Année 2023 Corrigé</vt:lpstr>
      <vt:lpstr>Synthèse Année 2024</vt:lpstr>
      <vt:lpstr>PM AMAT-CI SDR sur entrée</vt:lpstr>
      <vt:lpstr>PM SDR sur solde</vt:lpstr>
      <vt:lpstr>Au BILAN </vt:lpstr>
      <vt:lpstr>Résutat d'exploitation 2022</vt:lpstr>
      <vt:lpstr>g</vt:lpstr>
      <vt:lpstr>i</vt:lpstr>
      <vt:lpstr>ip</vt:lpstr>
      <vt:lpstr>pr</vt:lpstr>
      <vt:lpstr>v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2026-07-23T16:45:03Z</dcterms:modified>
</cp:coreProperties>
</file>