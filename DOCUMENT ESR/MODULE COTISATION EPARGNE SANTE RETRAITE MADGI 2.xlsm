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ssurance Maladie du Retraité\SIGMA 2026\MADGI SDR\"/>
    </mc:Choice>
  </mc:AlternateContent>
  <bookViews>
    <workbookView xWindow="-105" yWindow="-105" windowWidth="33945" windowHeight="21975" tabRatio="922" activeTab="1"/>
  </bookViews>
  <sheets>
    <sheet name="TABLES MORTALITES" sheetId="2" r:id="rId1"/>
    <sheet name="Calcul cotisation" sheetId="19" r:id="rId2"/>
    <sheet name="Type" sheetId="20" r:id="rId3"/>
    <sheet name="Grade" sheetId="21" r:id="rId4"/>
  </sheets>
  <functionGroups builtInGroupCount="18"/>
  <definedNames>
    <definedName name="CIMAF">'TABLES MORTALITES'!$A$1</definedName>
    <definedName name="CIMAH">'TABLES MORTALITES'!#REF!</definedName>
    <definedName name="TDCIMA">'TABLES MORTALITES'!#REF!</definedName>
    <definedName name="TVCIMA">'TABLES MORTALITES'!$A$1</definedName>
    <definedName name="_xlnm.Print_Area" localSheetId="1">'Calcul cotisation'!$A$1:$G$25</definedName>
  </definedNames>
  <calcPr calcId="162913"/>
</workbook>
</file>

<file path=xl/calcChain.xml><?xml version="1.0" encoding="utf-8"?>
<calcChain xmlns="http://schemas.openxmlformats.org/spreadsheetml/2006/main">
  <c r="C20" i="19" l="1"/>
  <c r="C21" i="19"/>
  <c r="C24" i="19" s="1"/>
  <c r="E22" i="19" a="1"/>
  <c r="E22" i="19" l="1"/>
  <c r="C23" i="19"/>
  <c r="C22" i="19"/>
</calcChain>
</file>

<file path=xl/comments1.xml><?xml version="1.0" encoding="utf-8"?>
<comments xmlns="http://schemas.openxmlformats.org/spreadsheetml/2006/main">
  <authors>
    <author xml:space="preserve"> 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Table prévue par le code CIMA. Elle correspond à la table PF 60-64 de la population française.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Nbre de survivants par âge.On note que 
L0=1.000.000</t>
        </r>
      </text>
    </comment>
  </commentList>
</comments>
</file>

<file path=xl/sharedStrings.xml><?xml version="1.0" encoding="utf-8"?>
<sst xmlns="http://schemas.openxmlformats.org/spreadsheetml/2006/main" count="38" uniqueCount="35">
  <si>
    <t>Lx</t>
  </si>
  <si>
    <t>CIMA_F</t>
  </si>
  <si>
    <t xml:space="preserve"> </t>
  </si>
  <si>
    <t>Cotisation épargne santé</t>
  </si>
  <si>
    <t>Données de l'adhérent</t>
  </si>
  <si>
    <t xml:space="preserve">  En nombre de trimestres</t>
  </si>
  <si>
    <t xml:space="preserve">  Matricule :</t>
  </si>
  <si>
    <t xml:space="preserve">  Nom et prénoms :</t>
  </si>
  <si>
    <t xml:space="preserve">  Date Naissance :</t>
  </si>
  <si>
    <t xml:space="preserve">  Grade :</t>
  </si>
  <si>
    <t xml:space="preserve">  Cotisation maladie annuelle garantie :</t>
  </si>
  <si>
    <t xml:space="preserve">  Date adhésion :</t>
  </si>
  <si>
    <t xml:space="preserve">  Age retraite : </t>
  </si>
  <si>
    <t xml:space="preserve">  Date retraite :</t>
  </si>
  <si>
    <t xml:space="preserve">  Date premier précompte :</t>
  </si>
  <si>
    <t xml:space="preserve">  Date effet :</t>
  </si>
  <si>
    <t xml:space="preserve">  Différé (Durée résiduelle d'activité) :</t>
  </si>
  <si>
    <t>KOUADIO KARAMOKO  HUBENE</t>
  </si>
  <si>
    <t>703980L</t>
  </si>
  <si>
    <t>Calcul  de la cotisation</t>
  </si>
  <si>
    <t>A7</t>
  </si>
  <si>
    <t xml:space="preserve">  Type :</t>
  </si>
  <si>
    <t>A6</t>
  </si>
  <si>
    <t>A5</t>
  </si>
  <si>
    <t>A4</t>
  </si>
  <si>
    <t>A3</t>
  </si>
  <si>
    <t>B3</t>
  </si>
  <si>
    <t>B1</t>
  </si>
  <si>
    <t>C3</t>
  </si>
  <si>
    <t>C2</t>
  </si>
  <si>
    <t>C1</t>
  </si>
  <si>
    <t>D2</t>
  </si>
  <si>
    <t>D1</t>
  </si>
  <si>
    <t>FONCTIONNAIRE</t>
  </si>
  <si>
    <t>CONTRACTUEL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</si>
</sst>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\ _€_-;\-* #,##0.00\ _€_-;_-* &quot;-&quot;??\ _€_-;_-@_-"/>
    <numFmt numFmtId="164" formatCode="#,##0.000000;[Red]\-#,##0.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  <font>
      <sz val="13"/>
      <color theme="1"/>
      <name val="Calisto MT"/>
      <family val="1"/>
    </font>
    <font>
      <b/>
      <sz val="13"/>
      <color theme="1"/>
      <name val="Calisto MT"/>
      <family val="1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6" fillId="0" borderId="0"/>
    <xf numFmtId="43" fontId="3" fillId="0" borderId="0" applyFont="0" applyFill="0" applyBorder="0" applyAlignment="0" applyProtection="0"/>
    <xf numFmtId="0" fontId="3" fillId="0" borderId="0"/>
  </cellStyleXfs>
  <cellXfs count="51">
    <xf numFmtId="0" fontId="0" fillId="0" borderId="0" xfId="0"/>
    <xf numFmtId="38" fontId="2" fillId="0" borderId="1" xfId="1" applyNumberFormat="1" applyFont="1" applyBorder="1" applyProtection="1">
      <protection locked="0"/>
    </xf>
    <xf numFmtId="38" fontId="2" fillId="0" borderId="2" xfId="1" applyNumberFormat="1" applyFont="1" applyBorder="1" applyAlignment="1" applyProtection="1">
      <alignment horizontal="center"/>
      <protection locked="0"/>
    </xf>
    <xf numFmtId="38" fontId="2" fillId="0" borderId="3" xfId="1" applyNumberFormat="1" applyFont="1" applyBorder="1" applyProtection="1">
      <protection locked="0"/>
    </xf>
    <xf numFmtId="38" fontId="2" fillId="0" borderId="0" xfId="1" applyNumberFormat="1" applyFont="1" applyProtection="1">
      <protection locked="0"/>
    </xf>
    <xf numFmtId="38" fontId="3" fillId="0" borderId="4" xfId="1" applyNumberFormat="1" applyFont="1" applyBorder="1" applyProtection="1">
      <protection locked="0"/>
    </xf>
    <xf numFmtId="38" fontId="3" fillId="0" borderId="0" xfId="1" applyNumberFormat="1" applyFont="1" applyBorder="1" applyProtection="1">
      <protection locked="0"/>
    </xf>
    <xf numFmtId="38" fontId="3" fillId="0" borderId="0" xfId="1" applyNumberFormat="1" applyFont="1" applyProtection="1">
      <protection locked="0"/>
    </xf>
    <xf numFmtId="164" fontId="3" fillId="0" borderId="0" xfId="1" applyNumberFormat="1" applyFont="1" applyProtection="1">
      <protection locked="0"/>
    </xf>
    <xf numFmtId="38" fontId="3" fillId="0" borderId="5" xfId="1" applyNumberFormat="1" applyFont="1" applyBorder="1" applyProtection="1">
      <protection locked="0"/>
    </xf>
    <xf numFmtId="38" fontId="3" fillId="0" borderId="6" xfId="1" applyNumberFormat="1" applyFont="1" applyBorder="1" applyProtection="1">
      <protection locked="0"/>
    </xf>
    <xf numFmtId="3" fontId="7" fillId="0" borderId="8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17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3" fontId="8" fillId="3" borderId="16" xfId="0" applyNumberFormat="1" applyFont="1" applyFill="1" applyBorder="1" applyAlignment="1">
      <alignment horizontal="left" vertical="center"/>
    </xf>
    <xf numFmtId="0" fontId="8" fillId="0" borderId="15" xfId="0" applyFont="1" applyBorder="1" applyAlignment="1">
      <alignment vertical="center"/>
    </xf>
    <xf numFmtId="14" fontId="8" fillId="0" borderId="0" xfId="0" applyNumberFormat="1" applyFont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8" fillId="3" borderId="16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20" xfId="0" applyFont="1" applyFill="1" applyBorder="1" applyAlignment="1">
      <alignment vertical="center"/>
    </xf>
    <xf numFmtId="0" fontId="8" fillId="0" borderId="25" xfId="0" applyFont="1" applyBorder="1" applyAlignment="1">
      <alignment horizontal="left" vertical="center"/>
    </xf>
    <xf numFmtId="0" fontId="8" fillId="0" borderId="26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0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28" xfId="0" applyFont="1" applyBorder="1" applyAlignment="1">
      <alignment horizontal="left" vertical="center"/>
    </xf>
    <xf numFmtId="0" fontId="8" fillId="0" borderId="29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14" fontId="8" fillId="2" borderId="31" xfId="0" applyNumberFormat="1" applyFont="1" applyFill="1" applyBorder="1" applyAlignment="1">
      <alignment horizontal="center" vertical="center"/>
    </xf>
    <xf numFmtId="1" fontId="8" fillId="2" borderId="32" xfId="0" applyNumberFormat="1" applyFont="1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3" fontId="9" fillId="2" borderId="21" xfId="0" applyNumberFormat="1" applyFont="1" applyFill="1" applyBorder="1" applyAlignment="1">
      <alignment horizontal="center" vertical="center"/>
    </xf>
    <xf numFmtId="1" fontId="8" fillId="2" borderId="30" xfId="0" applyNumberFormat="1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14" fontId="8" fillId="3" borderId="22" xfId="0" applyNumberFormat="1" applyFont="1" applyFill="1" applyBorder="1" applyAlignment="1">
      <alignment horizontal="center" vertical="center"/>
    </xf>
    <xf numFmtId="14" fontId="8" fillId="3" borderId="23" xfId="0" applyNumberFormat="1" applyFont="1" applyFill="1" applyBorder="1" applyAlignment="1">
      <alignment horizontal="center" vertical="center"/>
    </xf>
    <xf numFmtId="14" fontId="8" fillId="3" borderId="24" xfId="0" applyNumberFormat="1" applyFont="1" applyFill="1" applyBorder="1" applyAlignment="1">
      <alignment horizontal="center" vertical="center"/>
    </xf>
    <xf numFmtId="3" fontId="8" fillId="3" borderId="22" xfId="0" applyNumberFormat="1" applyFont="1" applyFill="1" applyBorder="1" applyAlignment="1">
      <alignment horizontal="center" vertical="center"/>
    </xf>
    <xf numFmtId="3" fontId="8" fillId="3" borderId="23" xfId="0" applyNumberFormat="1" applyFont="1" applyFill="1" applyBorder="1" applyAlignment="1">
      <alignment horizontal="center" vertical="center"/>
    </xf>
    <xf numFmtId="3" fontId="8" fillId="3" borderId="24" xfId="0" applyNumberFormat="1" applyFont="1" applyFill="1" applyBorder="1" applyAlignment="1">
      <alignment horizontal="center" vertical="center"/>
    </xf>
  </cellXfs>
  <cellStyles count="5">
    <cellStyle name="Milliers" xfId="1" builtinId="3"/>
    <cellStyle name="Milliers 47" xfId="3"/>
    <cellStyle name="Normal" xfId="0" builtinId="0"/>
    <cellStyle name="Normal 11 3" xfId="2"/>
    <cellStyle name="Normal 6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E108"/>
  <sheetViews>
    <sheetView workbookViewId="0">
      <pane ySplit="1" topLeftCell="A14" activePane="bottomLeft" state="frozen"/>
      <selection pane="bottomLeft" activeCell="M37" sqref="M37"/>
    </sheetView>
  </sheetViews>
  <sheetFormatPr baseColWidth="10" defaultColWidth="10.7109375" defaultRowHeight="12.75" x14ac:dyDescent="0.2"/>
  <cols>
    <col min="1" max="1" width="10.85546875" style="6" customWidth="1"/>
    <col min="2" max="2" width="11.28515625" style="6" customWidth="1"/>
    <col min="3" max="3" width="3.5703125" style="7" customWidth="1"/>
    <col min="4" max="242" width="10.7109375" style="7"/>
    <col min="243" max="243" width="10.85546875" style="7" customWidth="1"/>
    <col min="244" max="244" width="11.28515625" style="7" customWidth="1"/>
    <col min="245" max="245" width="3.7109375" style="7" customWidth="1"/>
    <col min="246" max="246" width="10.85546875" style="7" customWidth="1"/>
    <col min="247" max="247" width="11.28515625" style="7" customWidth="1"/>
    <col min="248" max="248" width="3.5703125" style="7" customWidth="1"/>
    <col min="249" max="249" width="8.28515625" style="7" customWidth="1"/>
    <col min="250" max="250" width="10.7109375" style="7"/>
    <col min="251" max="251" width="3.7109375" style="7" customWidth="1"/>
    <col min="252" max="253" width="10.7109375" style="7"/>
    <col min="254" max="254" width="3.7109375" style="7" customWidth="1"/>
    <col min="255" max="255" width="10.28515625" style="7" customWidth="1"/>
    <col min="256" max="256" width="10.7109375" style="7"/>
    <col min="257" max="257" width="5" style="7" customWidth="1"/>
    <col min="258" max="258" width="8.5703125" style="7" customWidth="1"/>
    <col min="259" max="498" width="10.7109375" style="7"/>
    <col min="499" max="499" width="10.85546875" style="7" customWidth="1"/>
    <col min="500" max="500" width="11.28515625" style="7" customWidth="1"/>
    <col min="501" max="501" width="3.7109375" style="7" customWidth="1"/>
    <col min="502" max="502" width="10.85546875" style="7" customWidth="1"/>
    <col min="503" max="503" width="11.28515625" style="7" customWidth="1"/>
    <col min="504" max="504" width="3.5703125" style="7" customWidth="1"/>
    <col min="505" max="505" width="8.28515625" style="7" customWidth="1"/>
    <col min="506" max="506" width="10.7109375" style="7"/>
    <col min="507" max="507" width="3.7109375" style="7" customWidth="1"/>
    <col min="508" max="509" width="10.7109375" style="7"/>
    <col min="510" max="510" width="3.7109375" style="7" customWidth="1"/>
    <col min="511" max="511" width="10.28515625" style="7" customWidth="1"/>
    <col min="512" max="512" width="10.7109375" style="7"/>
    <col min="513" max="513" width="5" style="7" customWidth="1"/>
    <col min="514" max="514" width="8.5703125" style="7" customWidth="1"/>
    <col min="515" max="754" width="10.7109375" style="7"/>
    <col min="755" max="755" width="10.85546875" style="7" customWidth="1"/>
    <col min="756" max="756" width="11.28515625" style="7" customWidth="1"/>
    <col min="757" max="757" width="3.7109375" style="7" customWidth="1"/>
    <col min="758" max="758" width="10.85546875" style="7" customWidth="1"/>
    <col min="759" max="759" width="11.28515625" style="7" customWidth="1"/>
    <col min="760" max="760" width="3.5703125" style="7" customWidth="1"/>
    <col min="761" max="761" width="8.28515625" style="7" customWidth="1"/>
    <col min="762" max="762" width="10.7109375" style="7"/>
    <col min="763" max="763" width="3.7109375" style="7" customWidth="1"/>
    <col min="764" max="765" width="10.7109375" style="7"/>
    <col min="766" max="766" width="3.7109375" style="7" customWidth="1"/>
    <col min="767" max="767" width="10.28515625" style="7" customWidth="1"/>
    <col min="768" max="768" width="10.7109375" style="7"/>
    <col min="769" max="769" width="5" style="7" customWidth="1"/>
    <col min="770" max="770" width="8.5703125" style="7" customWidth="1"/>
    <col min="771" max="1010" width="10.7109375" style="7"/>
    <col min="1011" max="1011" width="10.85546875" style="7" customWidth="1"/>
    <col min="1012" max="1012" width="11.28515625" style="7" customWidth="1"/>
    <col min="1013" max="1013" width="3.7109375" style="7" customWidth="1"/>
    <col min="1014" max="1014" width="10.85546875" style="7" customWidth="1"/>
    <col min="1015" max="1015" width="11.28515625" style="7" customWidth="1"/>
    <col min="1016" max="1016" width="3.5703125" style="7" customWidth="1"/>
    <col min="1017" max="1017" width="8.28515625" style="7" customWidth="1"/>
    <col min="1018" max="1018" width="10.7109375" style="7"/>
    <col min="1019" max="1019" width="3.7109375" style="7" customWidth="1"/>
    <col min="1020" max="1021" width="10.7109375" style="7"/>
    <col min="1022" max="1022" width="3.7109375" style="7" customWidth="1"/>
    <col min="1023" max="1023" width="10.28515625" style="7" customWidth="1"/>
    <col min="1024" max="1024" width="10.7109375" style="7"/>
    <col min="1025" max="1025" width="5" style="7" customWidth="1"/>
    <col min="1026" max="1026" width="8.5703125" style="7" customWidth="1"/>
    <col min="1027" max="1266" width="10.7109375" style="7"/>
    <col min="1267" max="1267" width="10.85546875" style="7" customWidth="1"/>
    <col min="1268" max="1268" width="11.28515625" style="7" customWidth="1"/>
    <col min="1269" max="1269" width="3.7109375" style="7" customWidth="1"/>
    <col min="1270" max="1270" width="10.85546875" style="7" customWidth="1"/>
    <col min="1271" max="1271" width="11.28515625" style="7" customWidth="1"/>
    <col min="1272" max="1272" width="3.5703125" style="7" customWidth="1"/>
    <col min="1273" max="1273" width="8.28515625" style="7" customWidth="1"/>
    <col min="1274" max="1274" width="10.7109375" style="7"/>
    <col min="1275" max="1275" width="3.7109375" style="7" customWidth="1"/>
    <col min="1276" max="1277" width="10.7109375" style="7"/>
    <col min="1278" max="1278" width="3.7109375" style="7" customWidth="1"/>
    <col min="1279" max="1279" width="10.28515625" style="7" customWidth="1"/>
    <col min="1280" max="1280" width="10.7109375" style="7"/>
    <col min="1281" max="1281" width="5" style="7" customWidth="1"/>
    <col min="1282" max="1282" width="8.5703125" style="7" customWidth="1"/>
    <col min="1283" max="1522" width="10.7109375" style="7"/>
    <col min="1523" max="1523" width="10.85546875" style="7" customWidth="1"/>
    <col min="1524" max="1524" width="11.28515625" style="7" customWidth="1"/>
    <col min="1525" max="1525" width="3.7109375" style="7" customWidth="1"/>
    <col min="1526" max="1526" width="10.85546875" style="7" customWidth="1"/>
    <col min="1527" max="1527" width="11.28515625" style="7" customWidth="1"/>
    <col min="1528" max="1528" width="3.5703125" style="7" customWidth="1"/>
    <col min="1529" max="1529" width="8.28515625" style="7" customWidth="1"/>
    <col min="1530" max="1530" width="10.7109375" style="7"/>
    <col min="1531" max="1531" width="3.7109375" style="7" customWidth="1"/>
    <col min="1532" max="1533" width="10.7109375" style="7"/>
    <col min="1534" max="1534" width="3.7109375" style="7" customWidth="1"/>
    <col min="1535" max="1535" width="10.28515625" style="7" customWidth="1"/>
    <col min="1536" max="1536" width="10.7109375" style="7"/>
    <col min="1537" max="1537" width="5" style="7" customWidth="1"/>
    <col min="1538" max="1538" width="8.5703125" style="7" customWidth="1"/>
    <col min="1539" max="1778" width="10.7109375" style="7"/>
    <col min="1779" max="1779" width="10.85546875" style="7" customWidth="1"/>
    <col min="1780" max="1780" width="11.28515625" style="7" customWidth="1"/>
    <col min="1781" max="1781" width="3.7109375" style="7" customWidth="1"/>
    <col min="1782" max="1782" width="10.85546875" style="7" customWidth="1"/>
    <col min="1783" max="1783" width="11.28515625" style="7" customWidth="1"/>
    <col min="1784" max="1784" width="3.5703125" style="7" customWidth="1"/>
    <col min="1785" max="1785" width="8.28515625" style="7" customWidth="1"/>
    <col min="1786" max="1786" width="10.7109375" style="7"/>
    <col min="1787" max="1787" width="3.7109375" style="7" customWidth="1"/>
    <col min="1788" max="1789" width="10.7109375" style="7"/>
    <col min="1790" max="1790" width="3.7109375" style="7" customWidth="1"/>
    <col min="1791" max="1791" width="10.28515625" style="7" customWidth="1"/>
    <col min="1792" max="1792" width="10.7109375" style="7"/>
    <col min="1793" max="1793" width="5" style="7" customWidth="1"/>
    <col min="1794" max="1794" width="8.5703125" style="7" customWidth="1"/>
    <col min="1795" max="2034" width="10.7109375" style="7"/>
    <col min="2035" max="2035" width="10.85546875" style="7" customWidth="1"/>
    <col min="2036" max="2036" width="11.28515625" style="7" customWidth="1"/>
    <col min="2037" max="2037" width="3.7109375" style="7" customWidth="1"/>
    <col min="2038" max="2038" width="10.85546875" style="7" customWidth="1"/>
    <col min="2039" max="2039" width="11.28515625" style="7" customWidth="1"/>
    <col min="2040" max="2040" width="3.5703125" style="7" customWidth="1"/>
    <col min="2041" max="2041" width="8.28515625" style="7" customWidth="1"/>
    <col min="2042" max="2042" width="10.7109375" style="7"/>
    <col min="2043" max="2043" width="3.7109375" style="7" customWidth="1"/>
    <col min="2044" max="2045" width="10.7109375" style="7"/>
    <col min="2046" max="2046" width="3.7109375" style="7" customWidth="1"/>
    <col min="2047" max="2047" width="10.28515625" style="7" customWidth="1"/>
    <col min="2048" max="2048" width="10.7109375" style="7"/>
    <col min="2049" max="2049" width="5" style="7" customWidth="1"/>
    <col min="2050" max="2050" width="8.5703125" style="7" customWidth="1"/>
    <col min="2051" max="2290" width="10.7109375" style="7"/>
    <col min="2291" max="2291" width="10.85546875" style="7" customWidth="1"/>
    <col min="2292" max="2292" width="11.28515625" style="7" customWidth="1"/>
    <col min="2293" max="2293" width="3.7109375" style="7" customWidth="1"/>
    <col min="2294" max="2294" width="10.85546875" style="7" customWidth="1"/>
    <col min="2295" max="2295" width="11.28515625" style="7" customWidth="1"/>
    <col min="2296" max="2296" width="3.5703125" style="7" customWidth="1"/>
    <col min="2297" max="2297" width="8.28515625" style="7" customWidth="1"/>
    <col min="2298" max="2298" width="10.7109375" style="7"/>
    <col min="2299" max="2299" width="3.7109375" style="7" customWidth="1"/>
    <col min="2300" max="2301" width="10.7109375" style="7"/>
    <col min="2302" max="2302" width="3.7109375" style="7" customWidth="1"/>
    <col min="2303" max="2303" width="10.28515625" style="7" customWidth="1"/>
    <col min="2304" max="2304" width="10.7109375" style="7"/>
    <col min="2305" max="2305" width="5" style="7" customWidth="1"/>
    <col min="2306" max="2306" width="8.5703125" style="7" customWidth="1"/>
    <col min="2307" max="2546" width="10.7109375" style="7"/>
    <col min="2547" max="2547" width="10.85546875" style="7" customWidth="1"/>
    <col min="2548" max="2548" width="11.28515625" style="7" customWidth="1"/>
    <col min="2549" max="2549" width="3.7109375" style="7" customWidth="1"/>
    <col min="2550" max="2550" width="10.85546875" style="7" customWidth="1"/>
    <col min="2551" max="2551" width="11.28515625" style="7" customWidth="1"/>
    <col min="2552" max="2552" width="3.5703125" style="7" customWidth="1"/>
    <col min="2553" max="2553" width="8.28515625" style="7" customWidth="1"/>
    <col min="2554" max="2554" width="10.7109375" style="7"/>
    <col min="2555" max="2555" width="3.7109375" style="7" customWidth="1"/>
    <col min="2556" max="2557" width="10.7109375" style="7"/>
    <col min="2558" max="2558" width="3.7109375" style="7" customWidth="1"/>
    <col min="2559" max="2559" width="10.28515625" style="7" customWidth="1"/>
    <col min="2560" max="2560" width="10.7109375" style="7"/>
    <col min="2561" max="2561" width="5" style="7" customWidth="1"/>
    <col min="2562" max="2562" width="8.5703125" style="7" customWidth="1"/>
    <col min="2563" max="2802" width="10.7109375" style="7"/>
    <col min="2803" max="2803" width="10.85546875" style="7" customWidth="1"/>
    <col min="2804" max="2804" width="11.28515625" style="7" customWidth="1"/>
    <col min="2805" max="2805" width="3.7109375" style="7" customWidth="1"/>
    <col min="2806" max="2806" width="10.85546875" style="7" customWidth="1"/>
    <col min="2807" max="2807" width="11.28515625" style="7" customWidth="1"/>
    <col min="2808" max="2808" width="3.5703125" style="7" customWidth="1"/>
    <col min="2809" max="2809" width="8.28515625" style="7" customWidth="1"/>
    <col min="2810" max="2810" width="10.7109375" style="7"/>
    <col min="2811" max="2811" width="3.7109375" style="7" customWidth="1"/>
    <col min="2812" max="2813" width="10.7109375" style="7"/>
    <col min="2814" max="2814" width="3.7109375" style="7" customWidth="1"/>
    <col min="2815" max="2815" width="10.28515625" style="7" customWidth="1"/>
    <col min="2816" max="2816" width="10.7109375" style="7"/>
    <col min="2817" max="2817" width="5" style="7" customWidth="1"/>
    <col min="2818" max="2818" width="8.5703125" style="7" customWidth="1"/>
    <col min="2819" max="3058" width="10.7109375" style="7"/>
    <col min="3059" max="3059" width="10.85546875" style="7" customWidth="1"/>
    <col min="3060" max="3060" width="11.28515625" style="7" customWidth="1"/>
    <col min="3061" max="3061" width="3.7109375" style="7" customWidth="1"/>
    <col min="3062" max="3062" width="10.85546875" style="7" customWidth="1"/>
    <col min="3063" max="3063" width="11.28515625" style="7" customWidth="1"/>
    <col min="3064" max="3064" width="3.5703125" style="7" customWidth="1"/>
    <col min="3065" max="3065" width="8.28515625" style="7" customWidth="1"/>
    <col min="3066" max="3066" width="10.7109375" style="7"/>
    <col min="3067" max="3067" width="3.7109375" style="7" customWidth="1"/>
    <col min="3068" max="3069" width="10.7109375" style="7"/>
    <col min="3070" max="3070" width="3.7109375" style="7" customWidth="1"/>
    <col min="3071" max="3071" width="10.28515625" style="7" customWidth="1"/>
    <col min="3072" max="3072" width="10.7109375" style="7"/>
    <col min="3073" max="3073" width="5" style="7" customWidth="1"/>
    <col min="3074" max="3074" width="8.5703125" style="7" customWidth="1"/>
    <col min="3075" max="3314" width="10.7109375" style="7"/>
    <col min="3315" max="3315" width="10.85546875" style="7" customWidth="1"/>
    <col min="3316" max="3316" width="11.28515625" style="7" customWidth="1"/>
    <col min="3317" max="3317" width="3.7109375" style="7" customWidth="1"/>
    <col min="3318" max="3318" width="10.85546875" style="7" customWidth="1"/>
    <col min="3319" max="3319" width="11.28515625" style="7" customWidth="1"/>
    <col min="3320" max="3320" width="3.5703125" style="7" customWidth="1"/>
    <col min="3321" max="3321" width="8.28515625" style="7" customWidth="1"/>
    <col min="3322" max="3322" width="10.7109375" style="7"/>
    <col min="3323" max="3323" width="3.7109375" style="7" customWidth="1"/>
    <col min="3324" max="3325" width="10.7109375" style="7"/>
    <col min="3326" max="3326" width="3.7109375" style="7" customWidth="1"/>
    <col min="3327" max="3327" width="10.28515625" style="7" customWidth="1"/>
    <col min="3328" max="3328" width="10.7109375" style="7"/>
    <col min="3329" max="3329" width="5" style="7" customWidth="1"/>
    <col min="3330" max="3330" width="8.5703125" style="7" customWidth="1"/>
    <col min="3331" max="3570" width="10.7109375" style="7"/>
    <col min="3571" max="3571" width="10.85546875" style="7" customWidth="1"/>
    <col min="3572" max="3572" width="11.28515625" style="7" customWidth="1"/>
    <col min="3573" max="3573" width="3.7109375" style="7" customWidth="1"/>
    <col min="3574" max="3574" width="10.85546875" style="7" customWidth="1"/>
    <col min="3575" max="3575" width="11.28515625" style="7" customWidth="1"/>
    <col min="3576" max="3576" width="3.5703125" style="7" customWidth="1"/>
    <col min="3577" max="3577" width="8.28515625" style="7" customWidth="1"/>
    <col min="3578" max="3578" width="10.7109375" style="7"/>
    <col min="3579" max="3579" width="3.7109375" style="7" customWidth="1"/>
    <col min="3580" max="3581" width="10.7109375" style="7"/>
    <col min="3582" max="3582" width="3.7109375" style="7" customWidth="1"/>
    <col min="3583" max="3583" width="10.28515625" style="7" customWidth="1"/>
    <col min="3584" max="3584" width="10.7109375" style="7"/>
    <col min="3585" max="3585" width="5" style="7" customWidth="1"/>
    <col min="3586" max="3586" width="8.5703125" style="7" customWidth="1"/>
    <col min="3587" max="3826" width="10.7109375" style="7"/>
    <col min="3827" max="3827" width="10.85546875" style="7" customWidth="1"/>
    <col min="3828" max="3828" width="11.28515625" style="7" customWidth="1"/>
    <col min="3829" max="3829" width="3.7109375" style="7" customWidth="1"/>
    <col min="3830" max="3830" width="10.85546875" style="7" customWidth="1"/>
    <col min="3831" max="3831" width="11.28515625" style="7" customWidth="1"/>
    <col min="3832" max="3832" width="3.5703125" style="7" customWidth="1"/>
    <col min="3833" max="3833" width="8.28515625" style="7" customWidth="1"/>
    <col min="3834" max="3834" width="10.7109375" style="7"/>
    <col min="3835" max="3835" width="3.7109375" style="7" customWidth="1"/>
    <col min="3836" max="3837" width="10.7109375" style="7"/>
    <col min="3838" max="3838" width="3.7109375" style="7" customWidth="1"/>
    <col min="3839" max="3839" width="10.28515625" style="7" customWidth="1"/>
    <col min="3840" max="3840" width="10.7109375" style="7"/>
    <col min="3841" max="3841" width="5" style="7" customWidth="1"/>
    <col min="3842" max="3842" width="8.5703125" style="7" customWidth="1"/>
    <col min="3843" max="4082" width="10.7109375" style="7"/>
    <col min="4083" max="4083" width="10.85546875" style="7" customWidth="1"/>
    <col min="4084" max="4084" width="11.28515625" style="7" customWidth="1"/>
    <col min="4085" max="4085" width="3.7109375" style="7" customWidth="1"/>
    <col min="4086" max="4086" width="10.85546875" style="7" customWidth="1"/>
    <col min="4087" max="4087" width="11.28515625" style="7" customWidth="1"/>
    <col min="4088" max="4088" width="3.5703125" style="7" customWidth="1"/>
    <col min="4089" max="4089" width="8.28515625" style="7" customWidth="1"/>
    <col min="4090" max="4090" width="10.7109375" style="7"/>
    <col min="4091" max="4091" width="3.7109375" style="7" customWidth="1"/>
    <col min="4092" max="4093" width="10.7109375" style="7"/>
    <col min="4094" max="4094" width="3.7109375" style="7" customWidth="1"/>
    <col min="4095" max="4095" width="10.28515625" style="7" customWidth="1"/>
    <col min="4096" max="4096" width="10.7109375" style="7"/>
    <col min="4097" max="4097" width="5" style="7" customWidth="1"/>
    <col min="4098" max="4098" width="8.5703125" style="7" customWidth="1"/>
    <col min="4099" max="4338" width="10.7109375" style="7"/>
    <col min="4339" max="4339" width="10.85546875" style="7" customWidth="1"/>
    <col min="4340" max="4340" width="11.28515625" style="7" customWidth="1"/>
    <col min="4341" max="4341" width="3.7109375" style="7" customWidth="1"/>
    <col min="4342" max="4342" width="10.85546875" style="7" customWidth="1"/>
    <col min="4343" max="4343" width="11.28515625" style="7" customWidth="1"/>
    <col min="4344" max="4344" width="3.5703125" style="7" customWidth="1"/>
    <col min="4345" max="4345" width="8.28515625" style="7" customWidth="1"/>
    <col min="4346" max="4346" width="10.7109375" style="7"/>
    <col min="4347" max="4347" width="3.7109375" style="7" customWidth="1"/>
    <col min="4348" max="4349" width="10.7109375" style="7"/>
    <col min="4350" max="4350" width="3.7109375" style="7" customWidth="1"/>
    <col min="4351" max="4351" width="10.28515625" style="7" customWidth="1"/>
    <col min="4352" max="4352" width="10.7109375" style="7"/>
    <col min="4353" max="4353" width="5" style="7" customWidth="1"/>
    <col min="4354" max="4354" width="8.5703125" style="7" customWidth="1"/>
    <col min="4355" max="4594" width="10.7109375" style="7"/>
    <col min="4595" max="4595" width="10.85546875" style="7" customWidth="1"/>
    <col min="4596" max="4596" width="11.28515625" style="7" customWidth="1"/>
    <col min="4597" max="4597" width="3.7109375" style="7" customWidth="1"/>
    <col min="4598" max="4598" width="10.85546875" style="7" customWidth="1"/>
    <col min="4599" max="4599" width="11.28515625" style="7" customWidth="1"/>
    <col min="4600" max="4600" width="3.5703125" style="7" customWidth="1"/>
    <col min="4601" max="4601" width="8.28515625" style="7" customWidth="1"/>
    <col min="4602" max="4602" width="10.7109375" style="7"/>
    <col min="4603" max="4603" width="3.7109375" style="7" customWidth="1"/>
    <col min="4604" max="4605" width="10.7109375" style="7"/>
    <col min="4606" max="4606" width="3.7109375" style="7" customWidth="1"/>
    <col min="4607" max="4607" width="10.28515625" style="7" customWidth="1"/>
    <col min="4608" max="4608" width="10.7109375" style="7"/>
    <col min="4609" max="4609" width="5" style="7" customWidth="1"/>
    <col min="4610" max="4610" width="8.5703125" style="7" customWidth="1"/>
    <col min="4611" max="4850" width="10.7109375" style="7"/>
    <col min="4851" max="4851" width="10.85546875" style="7" customWidth="1"/>
    <col min="4852" max="4852" width="11.28515625" style="7" customWidth="1"/>
    <col min="4853" max="4853" width="3.7109375" style="7" customWidth="1"/>
    <col min="4854" max="4854" width="10.85546875" style="7" customWidth="1"/>
    <col min="4855" max="4855" width="11.28515625" style="7" customWidth="1"/>
    <col min="4856" max="4856" width="3.5703125" style="7" customWidth="1"/>
    <col min="4857" max="4857" width="8.28515625" style="7" customWidth="1"/>
    <col min="4858" max="4858" width="10.7109375" style="7"/>
    <col min="4859" max="4859" width="3.7109375" style="7" customWidth="1"/>
    <col min="4860" max="4861" width="10.7109375" style="7"/>
    <col min="4862" max="4862" width="3.7109375" style="7" customWidth="1"/>
    <col min="4863" max="4863" width="10.28515625" style="7" customWidth="1"/>
    <col min="4864" max="4864" width="10.7109375" style="7"/>
    <col min="4865" max="4865" width="5" style="7" customWidth="1"/>
    <col min="4866" max="4866" width="8.5703125" style="7" customWidth="1"/>
    <col min="4867" max="5106" width="10.7109375" style="7"/>
    <col min="5107" max="5107" width="10.85546875" style="7" customWidth="1"/>
    <col min="5108" max="5108" width="11.28515625" style="7" customWidth="1"/>
    <col min="5109" max="5109" width="3.7109375" style="7" customWidth="1"/>
    <col min="5110" max="5110" width="10.85546875" style="7" customWidth="1"/>
    <col min="5111" max="5111" width="11.28515625" style="7" customWidth="1"/>
    <col min="5112" max="5112" width="3.5703125" style="7" customWidth="1"/>
    <col min="5113" max="5113" width="8.28515625" style="7" customWidth="1"/>
    <col min="5114" max="5114" width="10.7109375" style="7"/>
    <col min="5115" max="5115" width="3.7109375" style="7" customWidth="1"/>
    <col min="5116" max="5117" width="10.7109375" style="7"/>
    <col min="5118" max="5118" width="3.7109375" style="7" customWidth="1"/>
    <col min="5119" max="5119" width="10.28515625" style="7" customWidth="1"/>
    <col min="5120" max="5120" width="10.7109375" style="7"/>
    <col min="5121" max="5121" width="5" style="7" customWidth="1"/>
    <col min="5122" max="5122" width="8.5703125" style="7" customWidth="1"/>
    <col min="5123" max="5362" width="10.7109375" style="7"/>
    <col min="5363" max="5363" width="10.85546875" style="7" customWidth="1"/>
    <col min="5364" max="5364" width="11.28515625" style="7" customWidth="1"/>
    <col min="5365" max="5365" width="3.7109375" style="7" customWidth="1"/>
    <col min="5366" max="5366" width="10.85546875" style="7" customWidth="1"/>
    <col min="5367" max="5367" width="11.28515625" style="7" customWidth="1"/>
    <col min="5368" max="5368" width="3.5703125" style="7" customWidth="1"/>
    <col min="5369" max="5369" width="8.28515625" style="7" customWidth="1"/>
    <col min="5370" max="5370" width="10.7109375" style="7"/>
    <col min="5371" max="5371" width="3.7109375" style="7" customWidth="1"/>
    <col min="5372" max="5373" width="10.7109375" style="7"/>
    <col min="5374" max="5374" width="3.7109375" style="7" customWidth="1"/>
    <col min="5375" max="5375" width="10.28515625" style="7" customWidth="1"/>
    <col min="5376" max="5376" width="10.7109375" style="7"/>
    <col min="5377" max="5377" width="5" style="7" customWidth="1"/>
    <col min="5378" max="5378" width="8.5703125" style="7" customWidth="1"/>
    <col min="5379" max="5618" width="10.7109375" style="7"/>
    <col min="5619" max="5619" width="10.85546875" style="7" customWidth="1"/>
    <col min="5620" max="5620" width="11.28515625" style="7" customWidth="1"/>
    <col min="5621" max="5621" width="3.7109375" style="7" customWidth="1"/>
    <col min="5622" max="5622" width="10.85546875" style="7" customWidth="1"/>
    <col min="5623" max="5623" width="11.28515625" style="7" customWidth="1"/>
    <col min="5624" max="5624" width="3.5703125" style="7" customWidth="1"/>
    <col min="5625" max="5625" width="8.28515625" style="7" customWidth="1"/>
    <col min="5626" max="5626" width="10.7109375" style="7"/>
    <col min="5627" max="5627" width="3.7109375" style="7" customWidth="1"/>
    <col min="5628" max="5629" width="10.7109375" style="7"/>
    <col min="5630" max="5630" width="3.7109375" style="7" customWidth="1"/>
    <col min="5631" max="5631" width="10.28515625" style="7" customWidth="1"/>
    <col min="5632" max="5632" width="10.7109375" style="7"/>
    <col min="5633" max="5633" width="5" style="7" customWidth="1"/>
    <col min="5634" max="5634" width="8.5703125" style="7" customWidth="1"/>
    <col min="5635" max="5874" width="10.7109375" style="7"/>
    <col min="5875" max="5875" width="10.85546875" style="7" customWidth="1"/>
    <col min="5876" max="5876" width="11.28515625" style="7" customWidth="1"/>
    <col min="5877" max="5877" width="3.7109375" style="7" customWidth="1"/>
    <col min="5878" max="5878" width="10.85546875" style="7" customWidth="1"/>
    <col min="5879" max="5879" width="11.28515625" style="7" customWidth="1"/>
    <col min="5880" max="5880" width="3.5703125" style="7" customWidth="1"/>
    <col min="5881" max="5881" width="8.28515625" style="7" customWidth="1"/>
    <col min="5882" max="5882" width="10.7109375" style="7"/>
    <col min="5883" max="5883" width="3.7109375" style="7" customWidth="1"/>
    <col min="5884" max="5885" width="10.7109375" style="7"/>
    <col min="5886" max="5886" width="3.7109375" style="7" customWidth="1"/>
    <col min="5887" max="5887" width="10.28515625" style="7" customWidth="1"/>
    <col min="5888" max="5888" width="10.7109375" style="7"/>
    <col min="5889" max="5889" width="5" style="7" customWidth="1"/>
    <col min="5890" max="5890" width="8.5703125" style="7" customWidth="1"/>
    <col min="5891" max="6130" width="10.7109375" style="7"/>
    <col min="6131" max="6131" width="10.85546875" style="7" customWidth="1"/>
    <col min="6132" max="6132" width="11.28515625" style="7" customWidth="1"/>
    <col min="6133" max="6133" width="3.7109375" style="7" customWidth="1"/>
    <col min="6134" max="6134" width="10.85546875" style="7" customWidth="1"/>
    <col min="6135" max="6135" width="11.28515625" style="7" customWidth="1"/>
    <col min="6136" max="6136" width="3.5703125" style="7" customWidth="1"/>
    <col min="6137" max="6137" width="8.28515625" style="7" customWidth="1"/>
    <col min="6138" max="6138" width="10.7109375" style="7"/>
    <col min="6139" max="6139" width="3.7109375" style="7" customWidth="1"/>
    <col min="6140" max="6141" width="10.7109375" style="7"/>
    <col min="6142" max="6142" width="3.7109375" style="7" customWidth="1"/>
    <col min="6143" max="6143" width="10.28515625" style="7" customWidth="1"/>
    <col min="6144" max="6144" width="10.7109375" style="7"/>
    <col min="6145" max="6145" width="5" style="7" customWidth="1"/>
    <col min="6146" max="6146" width="8.5703125" style="7" customWidth="1"/>
    <col min="6147" max="6386" width="10.7109375" style="7"/>
    <col min="6387" max="6387" width="10.85546875" style="7" customWidth="1"/>
    <col min="6388" max="6388" width="11.28515625" style="7" customWidth="1"/>
    <col min="6389" max="6389" width="3.7109375" style="7" customWidth="1"/>
    <col min="6390" max="6390" width="10.85546875" style="7" customWidth="1"/>
    <col min="6391" max="6391" width="11.28515625" style="7" customWidth="1"/>
    <col min="6392" max="6392" width="3.5703125" style="7" customWidth="1"/>
    <col min="6393" max="6393" width="8.28515625" style="7" customWidth="1"/>
    <col min="6394" max="6394" width="10.7109375" style="7"/>
    <col min="6395" max="6395" width="3.7109375" style="7" customWidth="1"/>
    <col min="6396" max="6397" width="10.7109375" style="7"/>
    <col min="6398" max="6398" width="3.7109375" style="7" customWidth="1"/>
    <col min="6399" max="6399" width="10.28515625" style="7" customWidth="1"/>
    <col min="6400" max="6400" width="10.7109375" style="7"/>
    <col min="6401" max="6401" width="5" style="7" customWidth="1"/>
    <col min="6402" max="6402" width="8.5703125" style="7" customWidth="1"/>
    <col min="6403" max="6642" width="10.7109375" style="7"/>
    <col min="6643" max="6643" width="10.85546875" style="7" customWidth="1"/>
    <col min="6644" max="6644" width="11.28515625" style="7" customWidth="1"/>
    <col min="6645" max="6645" width="3.7109375" style="7" customWidth="1"/>
    <col min="6646" max="6646" width="10.85546875" style="7" customWidth="1"/>
    <col min="6647" max="6647" width="11.28515625" style="7" customWidth="1"/>
    <col min="6648" max="6648" width="3.5703125" style="7" customWidth="1"/>
    <col min="6649" max="6649" width="8.28515625" style="7" customWidth="1"/>
    <col min="6650" max="6650" width="10.7109375" style="7"/>
    <col min="6651" max="6651" width="3.7109375" style="7" customWidth="1"/>
    <col min="6652" max="6653" width="10.7109375" style="7"/>
    <col min="6654" max="6654" width="3.7109375" style="7" customWidth="1"/>
    <col min="6655" max="6655" width="10.28515625" style="7" customWidth="1"/>
    <col min="6656" max="6656" width="10.7109375" style="7"/>
    <col min="6657" max="6657" width="5" style="7" customWidth="1"/>
    <col min="6658" max="6658" width="8.5703125" style="7" customWidth="1"/>
    <col min="6659" max="6898" width="10.7109375" style="7"/>
    <col min="6899" max="6899" width="10.85546875" style="7" customWidth="1"/>
    <col min="6900" max="6900" width="11.28515625" style="7" customWidth="1"/>
    <col min="6901" max="6901" width="3.7109375" style="7" customWidth="1"/>
    <col min="6902" max="6902" width="10.85546875" style="7" customWidth="1"/>
    <col min="6903" max="6903" width="11.28515625" style="7" customWidth="1"/>
    <col min="6904" max="6904" width="3.5703125" style="7" customWidth="1"/>
    <col min="6905" max="6905" width="8.28515625" style="7" customWidth="1"/>
    <col min="6906" max="6906" width="10.7109375" style="7"/>
    <col min="6907" max="6907" width="3.7109375" style="7" customWidth="1"/>
    <col min="6908" max="6909" width="10.7109375" style="7"/>
    <col min="6910" max="6910" width="3.7109375" style="7" customWidth="1"/>
    <col min="6911" max="6911" width="10.28515625" style="7" customWidth="1"/>
    <col min="6912" max="6912" width="10.7109375" style="7"/>
    <col min="6913" max="6913" width="5" style="7" customWidth="1"/>
    <col min="6914" max="6914" width="8.5703125" style="7" customWidth="1"/>
    <col min="6915" max="7154" width="10.7109375" style="7"/>
    <col min="7155" max="7155" width="10.85546875" style="7" customWidth="1"/>
    <col min="7156" max="7156" width="11.28515625" style="7" customWidth="1"/>
    <col min="7157" max="7157" width="3.7109375" style="7" customWidth="1"/>
    <col min="7158" max="7158" width="10.85546875" style="7" customWidth="1"/>
    <col min="7159" max="7159" width="11.28515625" style="7" customWidth="1"/>
    <col min="7160" max="7160" width="3.5703125" style="7" customWidth="1"/>
    <col min="7161" max="7161" width="8.28515625" style="7" customWidth="1"/>
    <col min="7162" max="7162" width="10.7109375" style="7"/>
    <col min="7163" max="7163" width="3.7109375" style="7" customWidth="1"/>
    <col min="7164" max="7165" width="10.7109375" style="7"/>
    <col min="7166" max="7166" width="3.7109375" style="7" customWidth="1"/>
    <col min="7167" max="7167" width="10.28515625" style="7" customWidth="1"/>
    <col min="7168" max="7168" width="10.7109375" style="7"/>
    <col min="7169" max="7169" width="5" style="7" customWidth="1"/>
    <col min="7170" max="7170" width="8.5703125" style="7" customWidth="1"/>
    <col min="7171" max="7410" width="10.7109375" style="7"/>
    <col min="7411" max="7411" width="10.85546875" style="7" customWidth="1"/>
    <col min="7412" max="7412" width="11.28515625" style="7" customWidth="1"/>
    <col min="7413" max="7413" width="3.7109375" style="7" customWidth="1"/>
    <col min="7414" max="7414" width="10.85546875" style="7" customWidth="1"/>
    <col min="7415" max="7415" width="11.28515625" style="7" customWidth="1"/>
    <col min="7416" max="7416" width="3.5703125" style="7" customWidth="1"/>
    <col min="7417" max="7417" width="8.28515625" style="7" customWidth="1"/>
    <col min="7418" max="7418" width="10.7109375" style="7"/>
    <col min="7419" max="7419" width="3.7109375" style="7" customWidth="1"/>
    <col min="7420" max="7421" width="10.7109375" style="7"/>
    <col min="7422" max="7422" width="3.7109375" style="7" customWidth="1"/>
    <col min="7423" max="7423" width="10.28515625" style="7" customWidth="1"/>
    <col min="7424" max="7424" width="10.7109375" style="7"/>
    <col min="7425" max="7425" width="5" style="7" customWidth="1"/>
    <col min="7426" max="7426" width="8.5703125" style="7" customWidth="1"/>
    <col min="7427" max="7666" width="10.7109375" style="7"/>
    <col min="7667" max="7667" width="10.85546875" style="7" customWidth="1"/>
    <col min="7668" max="7668" width="11.28515625" style="7" customWidth="1"/>
    <col min="7669" max="7669" width="3.7109375" style="7" customWidth="1"/>
    <col min="7670" max="7670" width="10.85546875" style="7" customWidth="1"/>
    <col min="7671" max="7671" width="11.28515625" style="7" customWidth="1"/>
    <col min="7672" max="7672" width="3.5703125" style="7" customWidth="1"/>
    <col min="7673" max="7673" width="8.28515625" style="7" customWidth="1"/>
    <col min="7674" max="7674" width="10.7109375" style="7"/>
    <col min="7675" max="7675" width="3.7109375" style="7" customWidth="1"/>
    <col min="7676" max="7677" width="10.7109375" style="7"/>
    <col min="7678" max="7678" width="3.7109375" style="7" customWidth="1"/>
    <col min="7679" max="7679" width="10.28515625" style="7" customWidth="1"/>
    <col min="7680" max="7680" width="10.7109375" style="7"/>
    <col min="7681" max="7681" width="5" style="7" customWidth="1"/>
    <col min="7682" max="7682" width="8.5703125" style="7" customWidth="1"/>
    <col min="7683" max="7922" width="10.7109375" style="7"/>
    <col min="7923" max="7923" width="10.85546875" style="7" customWidth="1"/>
    <col min="7924" max="7924" width="11.28515625" style="7" customWidth="1"/>
    <col min="7925" max="7925" width="3.7109375" style="7" customWidth="1"/>
    <col min="7926" max="7926" width="10.85546875" style="7" customWidth="1"/>
    <col min="7927" max="7927" width="11.28515625" style="7" customWidth="1"/>
    <col min="7928" max="7928" width="3.5703125" style="7" customWidth="1"/>
    <col min="7929" max="7929" width="8.28515625" style="7" customWidth="1"/>
    <col min="7930" max="7930" width="10.7109375" style="7"/>
    <col min="7931" max="7931" width="3.7109375" style="7" customWidth="1"/>
    <col min="7932" max="7933" width="10.7109375" style="7"/>
    <col min="7934" max="7934" width="3.7109375" style="7" customWidth="1"/>
    <col min="7935" max="7935" width="10.28515625" style="7" customWidth="1"/>
    <col min="7936" max="7936" width="10.7109375" style="7"/>
    <col min="7937" max="7937" width="5" style="7" customWidth="1"/>
    <col min="7938" max="7938" width="8.5703125" style="7" customWidth="1"/>
    <col min="7939" max="8178" width="10.7109375" style="7"/>
    <col min="8179" max="8179" width="10.85546875" style="7" customWidth="1"/>
    <col min="8180" max="8180" width="11.28515625" style="7" customWidth="1"/>
    <col min="8181" max="8181" width="3.7109375" style="7" customWidth="1"/>
    <col min="8182" max="8182" width="10.85546875" style="7" customWidth="1"/>
    <col min="8183" max="8183" width="11.28515625" style="7" customWidth="1"/>
    <col min="8184" max="8184" width="3.5703125" style="7" customWidth="1"/>
    <col min="8185" max="8185" width="8.28515625" style="7" customWidth="1"/>
    <col min="8186" max="8186" width="10.7109375" style="7"/>
    <col min="8187" max="8187" width="3.7109375" style="7" customWidth="1"/>
    <col min="8188" max="8189" width="10.7109375" style="7"/>
    <col min="8190" max="8190" width="3.7109375" style="7" customWidth="1"/>
    <col min="8191" max="8191" width="10.28515625" style="7" customWidth="1"/>
    <col min="8192" max="8192" width="10.7109375" style="7"/>
    <col min="8193" max="8193" width="5" style="7" customWidth="1"/>
    <col min="8194" max="8194" width="8.5703125" style="7" customWidth="1"/>
    <col min="8195" max="8434" width="10.7109375" style="7"/>
    <col min="8435" max="8435" width="10.85546875" style="7" customWidth="1"/>
    <col min="8436" max="8436" width="11.28515625" style="7" customWidth="1"/>
    <col min="8437" max="8437" width="3.7109375" style="7" customWidth="1"/>
    <col min="8438" max="8438" width="10.85546875" style="7" customWidth="1"/>
    <col min="8439" max="8439" width="11.28515625" style="7" customWidth="1"/>
    <col min="8440" max="8440" width="3.5703125" style="7" customWidth="1"/>
    <col min="8441" max="8441" width="8.28515625" style="7" customWidth="1"/>
    <col min="8442" max="8442" width="10.7109375" style="7"/>
    <col min="8443" max="8443" width="3.7109375" style="7" customWidth="1"/>
    <col min="8444" max="8445" width="10.7109375" style="7"/>
    <col min="8446" max="8446" width="3.7109375" style="7" customWidth="1"/>
    <col min="8447" max="8447" width="10.28515625" style="7" customWidth="1"/>
    <col min="8448" max="8448" width="10.7109375" style="7"/>
    <col min="8449" max="8449" width="5" style="7" customWidth="1"/>
    <col min="8450" max="8450" width="8.5703125" style="7" customWidth="1"/>
    <col min="8451" max="8690" width="10.7109375" style="7"/>
    <col min="8691" max="8691" width="10.85546875" style="7" customWidth="1"/>
    <col min="8692" max="8692" width="11.28515625" style="7" customWidth="1"/>
    <col min="8693" max="8693" width="3.7109375" style="7" customWidth="1"/>
    <col min="8694" max="8694" width="10.85546875" style="7" customWidth="1"/>
    <col min="8695" max="8695" width="11.28515625" style="7" customWidth="1"/>
    <col min="8696" max="8696" width="3.5703125" style="7" customWidth="1"/>
    <col min="8697" max="8697" width="8.28515625" style="7" customWidth="1"/>
    <col min="8698" max="8698" width="10.7109375" style="7"/>
    <col min="8699" max="8699" width="3.7109375" style="7" customWidth="1"/>
    <col min="8700" max="8701" width="10.7109375" style="7"/>
    <col min="8702" max="8702" width="3.7109375" style="7" customWidth="1"/>
    <col min="8703" max="8703" width="10.28515625" style="7" customWidth="1"/>
    <col min="8704" max="8704" width="10.7109375" style="7"/>
    <col min="8705" max="8705" width="5" style="7" customWidth="1"/>
    <col min="8706" max="8706" width="8.5703125" style="7" customWidth="1"/>
    <col min="8707" max="8946" width="10.7109375" style="7"/>
    <col min="8947" max="8947" width="10.85546875" style="7" customWidth="1"/>
    <col min="8948" max="8948" width="11.28515625" style="7" customWidth="1"/>
    <col min="8949" max="8949" width="3.7109375" style="7" customWidth="1"/>
    <col min="8950" max="8950" width="10.85546875" style="7" customWidth="1"/>
    <col min="8951" max="8951" width="11.28515625" style="7" customWidth="1"/>
    <col min="8952" max="8952" width="3.5703125" style="7" customWidth="1"/>
    <col min="8953" max="8953" width="8.28515625" style="7" customWidth="1"/>
    <col min="8954" max="8954" width="10.7109375" style="7"/>
    <col min="8955" max="8955" width="3.7109375" style="7" customWidth="1"/>
    <col min="8956" max="8957" width="10.7109375" style="7"/>
    <col min="8958" max="8958" width="3.7109375" style="7" customWidth="1"/>
    <col min="8959" max="8959" width="10.28515625" style="7" customWidth="1"/>
    <col min="8960" max="8960" width="10.7109375" style="7"/>
    <col min="8961" max="8961" width="5" style="7" customWidth="1"/>
    <col min="8962" max="8962" width="8.5703125" style="7" customWidth="1"/>
    <col min="8963" max="9202" width="10.7109375" style="7"/>
    <col min="9203" max="9203" width="10.85546875" style="7" customWidth="1"/>
    <col min="9204" max="9204" width="11.28515625" style="7" customWidth="1"/>
    <col min="9205" max="9205" width="3.7109375" style="7" customWidth="1"/>
    <col min="9206" max="9206" width="10.85546875" style="7" customWidth="1"/>
    <col min="9207" max="9207" width="11.28515625" style="7" customWidth="1"/>
    <col min="9208" max="9208" width="3.5703125" style="7" customWidth="1"/>
    <col min="9209" max="9209" width="8.28515625" style="7" customWidth="1"/>
    <col min="9210" max="9210" width="10.7109375" style="7"/>
    <col min="9211" max="9211" width="3.7109375" style="7" customWidth="1"/>
    <col min="9212" max="9213" width="10.7109375" style="7"/>
    <col min="9214" max="9214" width="3.7109375" style="7" customWidth="1"/>
    <col min="9215" max="9215" width="10.28515625" style="7" customWidth="1"/>
    <col min="9216" max="9216" width="10.7109375" style="7"/>
    <col min="9217" max="9217" width="5" style="7" customWidth="1"/>
    <col min="9218" max="9218" width="8.5703125" style="7" customWidth="1"/>
    <col min="9219" max="9458" width="10.7109375" style="7"/>
    <col min="9459" max="9459" width="10.85546875" style="7" customWidth="1"/>
    <col min="9460" max="9460" width="11.28515625" style="7" customWidth="1"/>
    <col min="9461" max="9461" width="3.7109375" style="7" customWidth="1"/>
    <col min="9462" max="9462" width="10.85546875" style="7" customWidth="1"/>
    <col min="9463" max="9463" width="11.28515625" style="7" customWidth="1"/>
    <col min="9464" max="9464" width="3.5703125" style="7" customWidth="1"/>
    <col min="9465" max="9465" width="8.28515625" style="7" customWidth="1"/>
    <col min="9466" max="9466" width="10.7109375" style="7"/>
    <col min="9467" max="9467" width="3.7109375" style="7" customWidth="1"/>
    <col min="9468" max="9469" width="10.7109375" style="7"/>
    <col min="9470" max="9470" width="3.7109375" style="7" customWidth="1"/>
    <col min="9471" max="9471" width="10.28515625" style="7" customWidth="1"/>
    <col min="9472" max="9472" width="10.7109375" style="7"/>
    <col min="9473" max="9473" width="5" style="7" customWidth="1"/>
    <col min="9474" max="9474" width="8.5703125" style="7" customWidth="1"/>
    <col min="9475" max="9714" width="10.7109375" style="7"/>
    <col min="9715" max="9715" width="10.85546875" style="7" customWidth="1"/>
    <col min="9716" max="9716" width="11.28515625" style="7" customWidth="1"/>
    <col min="9717" max="9717" width="3.7109375" style="7" customWidth="1"/>
    <col min="9718" max="9718" width="10.85546875" style="7" customWidth="1"/>
    <col min="9719" max="9719" width="11.28515625" style="7" customWidth="1"/>
    <col min="9720" max="9720" width="3.5703125" style="7" customWidth="1"/>
    <col min="9721" max="9721" width="8.28515625" style="7" customWidth="1"/>
    <col min="9722" max="9722" width="10.7109375" style="7"/>
    <col min="9723" max="9723" width="3.7109375" style="7" customWidth="1"/>
    <col min="9724" max="9725" width="10.7109375" style="7"/>
    <col min="9726" max="9726" width="3.7109375" style="7" customWidth="1"/>
    <col min="9727" max="9727" width="10.28515625" style="7" customWidth="1"/>
    <col min="9728" max="9728" width="10.7109375" style="7"/>
    <col min="9729" max="9729" width="5" style="7" customWidth="1"/>
    <col min="9730" max="9730" width="8.5703125" style="7" customWidth="1"/>
    <col min="9731" max="9970" width="10.7109375" style="7"/>
    <col min="9971" max="9971" width="10.85546875" style="7" customWidth="1"/>
    <col min="9972" max="9972" width="11.28515625" style="7" customWidth="1"/>
    <col min="9973" max="9973" width="3.7109375" style="7" customWidth="1"/>
    <col min="9974" max="9974" width="10.85546875" style="7" customWidth="1"/>
    <col min="9975" max="9975" width="11.28515625" style="7" customWidth="1"/>
    <col min="9976" max="9976" width="3.5703125" style="7" customWidth="1"/>
    <col min="9977" max="9977" width="8.28515625" style="7" customWidth="1"/>
    <col min="9978" max="9978" width="10.7109375" style="7"/>
    <col min="9979" max="9979" width="3.7109375" style="7" customWidth="1"/>
    <col min="9980" max="9981" width="10.7109375" style="7"/>
    <col min="9982" max="9982" width="3.7109375" style="7" customWidth="1"/>
    <col min="9983" max="9983" width="10.28515625" style="7" customWidth="1"/>
    <col min="9984" max="9984" width="10.7109375" style="7"/>
    <col min="9985" max="9985" width="5" style="7" customWidth="1"/>
    <col min="9986" max="9986" width="8.5703125" style="7" customWidth="1"/>
    <col min="9987" max="10226" width="10.7109375" style="7"/>
    <col min="10227" max="10227" width="10.85546875" style="7" customWidth="1"/>
    <col min="10228" max="10228" width="11.28515625" style="7" customWidth="1"/>
    <col min="10229" max="10229" width="3.7109375" style="7" customWidth="1"/>
    <col min="10230" max="10230" width="10.85546875" style="7" customWidth="1"/>
    <col min="10231" max="10231" width="11.28515625" style="7" customWidth="1"/>
    <col min="10232" max="10232" width="3.5703125" style="7" customWidth="1"/>
    <col min="10233" max="10233" width="8.28515625" style="7" customWidth="1"/>
    <col min="10234" max="10234" width="10.7109375" style="7"/>
    <col min="10235" max="10235" width="3.7109375" style="7" customWidth="1"/>
    <col min="10236" max="10237" width="10.7109375" style="7"/>
    <col min="10238" max="10238" width="3.7109375" style="7" customWidth="1"/>
    <col min="10239" max="10239" width="10.28515625" style="7" customWidth="1"/>
    <col min="10240" max="10240" width="10.7109375" style="7"/>
    <col min="10241" max="10241" width="5" style="7" customWidth="1"/>
    <col min="10242" max="10242" width="8.5703125" style="7" customWidth="1"/>
    <col min="10243" max="10482" width="10.7109375" style="7"/>
    <col min="10483" max="10483" width="10.85546875" style="7" customWidth="1"/>
    <col min="10484" max="10484" width="11.28515625" style="7" customWidth="1"/>
    <col min="10485" max="10485" width="3.7109375" style="7" customWidth="1"/>
    <col min="10486" max="10486" width="10.85546875" style="7" customWidth="1"/>
    <col min="10487" max="10487" width="11.28515625" style="7" customWidth="1"/>
    <col min="10488" max="10488" width="3.5703125" style="7" customWidth="1"/>
    <col min="10489" max="10489" width="8.28515625" style="7" customWidth="1"/>
    <col min="10490" max="10490" width="10.7109375" style="7"/>
    <col min="10491" max="10491" width="3.7109375" style="7" customWidth="1"/>
    <col min="10492" max="10493" width="10.7109375" style="7"/>
    <col min="10494" max="10494" width="3.7109375" style="7" customWidth="1"/>
    <col min="10495" max="10495" width="10.28515625" style="7" customWidth="1"/>
    <col min="10496" max="10496" width="10.7109375" style="7"/>
    <col min="10497" max="10497" width="5" style="7" customWidth="1"/>
    <col min="10498" max="10498" width="8.5703125" style="7" customWidth="1"/>
    <col min="10499" max="10738" width="10.7109375" style="7"/>
    <col min="10739" max="10739" width="10.85546875" style="7" customWidth="1"/>
    <col min="10740" max="10740" width="11.28515625" style="7" customWidth="1"/>
    <col min="10741" max="10741" width="3.7109375" style="7" customWidth="1"/>
    <col min="10742" max="10742" width="10.85546875" style="7" customWidth="1"/>
    <col min="10743" max="10743" width="11.28515625" style="7" customWidth="1"/>
    <col min="10744" max="10744" width="3.5703125" style="7" customWidth="1"/>
    <col min="10745" max="10745" width="8.28515625" style="7" customWidth="1"/>
    <col min="10746" max="10746" width="10.7109375" style="7"/>
    <col min="10747" max="10747" width="3.7109375" style="7" customWidth="1"/>
    <col min="10748" max="10749" width="10.7109375" style="7"/>
    <col min="10750" max="10750" width="3.7109375" style="7" customWidth="1"/>
    <col min="10751" max="10751" width="10.28515625" style="7" customWidth="1"/>
    <col min="10752" max="10752" width="10.7109375" style="7"/>
    <col min="10753" max="10753" width="5" style="7" customWidth="1"/>
    <col min="10754" max="10754" width="8.5703125" style="7" customWidth="1"/>
    <col min="10755" max="10994" width="10.7109375" style="7"/>
    <col min="10995" max="10995" width="10.85546875" style="7" customWidth="1"/>
    <col min="10996" max="10996" width="11.28515625" style="7" customWidth="1"/>
    <col min="10997" max="10997" width="3.7109375" style="7" customWidth="1"/>
    <col min="10998" max="10998" width="10.85546875" style="7" customWidth="1"/>
    <col min="10999" max="10999" width="11.28515625" style="7" customWidth="1"/>
    <col min="11000" max="11000" width="3.5703125" style="7" customWidth="1"/>
    <col min="11001" max="11001" width="8.28515625" style="7" customWidth="1"/>
    <col min="11002" max="11002" width="10.7109375" style="7"/>
    <col min="11003" max="11003" width="3.7109375" style="7" customWidth="1"/>
    <col min="11004" max="11005" width="10.7109375" style="7"/>
    <col min="11006" max="11006" width="3.7109375" style="7" customWidth="1"/>
    <col min="11007" max="11007" width="10.28515625" style="7" customWidth="1"/>
    <col min="11008" max="11008" width="10.7109375" style="7"/>
    <col min="11009" max="11009" width="5" style="7" customWidth="1"/>
    <col min="11010" max="11010" width="8.5703125" style="7" customWidth="1"/>
    <col min="11011" max="11250" width="10.7109375" style="7"/>
    <col min="11251" max="11251" width="10.85546875" style="7" customWidth="1"/>
    <col min="11252" max="11252" width="11.28515625" style="7" customWidth="1"/>
    <col min="11253" max="11253" width="3.7109375" style="7" customWidth="1"/>
    <col min="11254" max="11254" width="10.85546875" style="7" customWidth="1"/>
    <col min="11255" max="11255" width="11.28515625" style="7" customWidth="1"/>
    <col min="11256" max="11256" width="3.5703125" style="7" customWidth="1"/>
    <col min="11257" max="11257" width="8.28515625" style="7" customWidth="1"/>
    <col min="11258" max="11258" width="10.7109375" style="7"/>
    <col min="11259" max="11259" width="3.7109375" style="7" customWidth="1"/>
    <col min="11260" max="11261" width="10.7109375" style="7"/>
    <col min="11262" max="11262" width="3.7109375" style="7" customWidth="1"/>
    <col min="11263" max="11263" width="10.28515625" style="7" customWidth="1"/>
    <col min="11264" max="11264" width="10.7109375" style="7"/>
    <col min="11265" max="11265" width="5" style="7" customWidth="1"/>
    <col min="11266" max="11266" width="8.5703125" style="7" customWidth="1"/>
    <col min="11267" max="11506" width="10.7109375" style="7"/>
    <col min="11507" max="11507" width="10.85546875" style="7" customWidth="1"/>
    <col min="11508" max="11508" width="11.28515625" style="7" customWidth="1"/>
    <col min="11509" max="11509" width="3.7109375" style="7" customWidth="1"/>
    <col min="11510" max="11510" width="10.85546875" style="7" customWidth="1"/>
    <col min="11511" max="11511" width="11.28515625" style="7" customWidth="1"/>
    <col min="11512" max="11512" width="3.5703125" style="7" customWidth="1"/>
    <col min="11513" max="11513" width="8.28515625" style="7" customWidth="1"/>
    <col min="11514" max="11514" width="10.7109375" style="7"/>
    <col min="11515" max="11515" width="3.7109375" style="7" customWidth="1"/>
    <col min="11516" max="11517" width="10.7109375" style="7"/>
    <col min="11518" max="11518" width="3.7109375" style="7" customWidth="1"/>
    <col min="11519" max="11519" width="10.28515625" style="7" customWidth="1"/>
    <col min="11520" max="11520" width="10.7109375" style="7"/>
    <col min="11521" max="11521" width="5" style="7" customWidth="1"/>
    <col min="11522" max="11522" width="8.5703125" style="7" customWidth="1"/>
    <col min="11523" max="11762" width="10.7109375" style="7"/>
    <col min="11763" max="11763" width="10.85546875" style="7" customWidth="1"/>
    <col min="11764" max="11764" width="11.28515625" style="7" customWidth="1"/>
    <col min="11765" max="11765" width="3.7109375" style="7" customWidth="1"/>
    <col min="11766" max="11766" width="10.85546875" style="7" customWidth="1"/>
    <col min="11767" max="11767" width="11.28515625" style="7" customWidth="1"/>
    <col min="11768" max="11768" width="3.5703125" style="7" customWidth="1"/>
    <col min="11769" max="11769" width="8.28515625" style="7" customWidth="1"/>
    <col min="11770" max="11770" width="10.7109375" style="7"/>
    <col min="11771" max="11771" width="3.7109375" style="7" customWidth="1"/>
    <col min="11772" max="11773" width="10.7109375" style="7"/>
    <col min="11774" max="11774" width="3.7109375" style="7" customWidth="1"/>
    <col min="11775" max="11775" width="10.28515625" style="7" customWidth="1"/>
    <col min="11776" max="11776" width="10.7109375" style="7"/>
    <col min="11777" max="11777" width="5" style="7" customWidth="1"/>
    <col min="11778" max="11778" width="8.5703125" style="7" customWidth="1"/>
    <col min="11779" max="12018" width="10.7109375" style="7"/>
    <col min="12019" max="12019" width="10.85546875" style="7" customWidth="1"/>
    <col min="12020" max="12020" width="11.28515625" style="7" customWidth="1"/>
    <col min="12021" max="12021" width="3.7109375" style="7" customWidth="1"/>
    <col min="12022" max="12022" width="10.85546875" style="7" customWidth="1"/>
    <col min="12023" max="12023" width="11.28515625" style="7" customWidth="1"/>
    <col min="12024" max="12024" width="3.5703125" style="7" customWidth="1"/>
    <col min="12025" max="12025" width="8.28515625" style="7" customWidth="1"/>
    <col min="12026" max="12026" width="10.7109375" style="7"/>
    <col min="12027" max="12027" width="3.7109375" style="7" customWidth="1"/>
    <col min="12028" max="12029" width="10.7109375" style="7"/>
    <col min="12030" max="12030" width="3.7109375" style="7" customWidth="1"/>
    <col min="12031" max="12031" width="10.28515625" style="7" customWidth="1"/>
    <col min="12032" max="12032" width="10.7109375" style="7"/>
    <col min="12033" max="12033" width="5" style="7" customWidth="1"/>
    <col min="12034" max="12034" width="8.5703125" style="7" customWidth="1"/>
    <col min="12035" max="12274" width="10.7109375" style="7"/>
    <col min="12275" max="12275" width="10.85546875" style="7" customWidth="1"/>
    <col min="12276" max="12276" width="11.28515625" style="7" customWidth="1"/>
    <col min="12277" max="12277" width="3.7109375" style="7" customWidth="1"/>
    <col min="12278" max="12278" width="10.85546875" style="7" customWidth="1"/>
    <col min="12279" max="12279" width="11.28515625" style="7" customWidth="1"/>
    <col min="12280" max="12280" width="3.5703125" style="7" customWidth="1"/>
    <col min="12281" max="12281" width="8.28515625" style="7" customWidth="1"/>
    <col min="12282" max="12282" width="10.7109375" style="7"/>
    <col min="12283" max="12283" width="3.7109375" style="7" customWidth="1"/>
    <col min="12284" max="12285" width="10.7109375" style="7"/>
    <col min="12286" max="12286" width="3.7109375" style="7" customWidth="1"/>
    <col min="12287" max="12287" width="10.28515625" style="7" customWidth="1"/>
    <col min="12288" max="12288" width="10.7109375" style="7"/>
    <col min="12289" max="12289" width="5" style="7" customWidth="1"/>
    <col min="12290" max="12290" width="8.5703125" style="7" customWidth="1"/>
    <col min="12291" max="12530" width="10.7109375" style="7"/>
    <col min="12531" max="12531" width="10.85546875" style="7" customWidth="1"/>
    <col min="12532" max="12532" width="11.28515625" style="7" customWidth="1"/>
    <col min="12533" max="12533" width="3.7109375" style="7" customWidth="1"/>
    <col min="12534" max="12534" width="10.85546875" style="7" customWidth="1"/>
    <col min="12535" max="12535" width="11.28515625" style="7" customWidth="1"/>
    <col min="12536" max="12536" width="3.5703125" style="7" customWidth="1"/>
    <col min="12537" max="12537" width="8.28515625" style="7" customWidth="1"/>
    <col min="12538" max="12538" width="10.7109375" style="7"/>
    <col min="12539" max="12539" width="3.7109375" style="7" customWidth="1"/>
    <col min="12540" max="12541" width="10.7109375" style="7"/>
    <col min="12542" max="12542" width="3.7109375" style="7" customWidth="1"/>
    <col min="12543" max="12543" width="10.28515625" style="7" customWidth="1"/>
    <col min="12544" max="12544" width="10.7109375" style="7"/>
    <col min="12545" max="12545" width="5" style="7" customWidth="1"/>
    <col min="12546" max="12546" width="8.5703125" style="7" customWidth="1"/>
    <col min="12547" max="12786" width="10.7109375" style="7"/>
    <col min="12787" max="12787" width="10.85546875" style="7" customWidth="1"/>
    <col min="12788" max="12788" width="11.28515625" style="7" customWidth="1"/>
    <col min="12789" max="12789" width="3.7109375" style="7" customWidth="1"/>
    <col min="12790" max="12790" width="10.85546875" style="7" customWidth="1"/>
    <col min="12791" max="12791" width="11.28515625" style="7" customWidth="1"/>
    <col min="12792" max="12792" width="3.5703125" style="7" customWidth="1"/>
    <col min="12793" max="12793" width="8.28515625" style="7" customWidth="1"/>
    <col min="12794" max="12794" width="10.7109375" style="7"/>
    <col min="12795" max="12795" width="3.7109375" style="7" customWidth="1"/>
    <col min="12796" max="12797" width="10.7109375" style="7"/>
    <col min="12798" max="12798" width="3.7109375" style="7" customWidth="1"/>
    <col min="12799" max="12799" width="10.28515625" style="7" customWidth="1"/>
    <col min="12800" max="12800" width="10.7109375" style="7"/>
    <col min="12801" max="12801" width="5" style="7" customWidth="1"/>
    <col min="12802" max="12802" width="8.5703125" style="7" customWidth="1"/>
    <col min="12803" max="13042" width="10.7109375" style="7"/>
    <col min="13043" max="13043" width="10.85546875" style="7" customWidth="1"/>
    <col min="13044" max="13044" width="11.28515625" style="7" customWidth="1"/>
    <col min="13045" max="13045" width="3.7109375" style="7" customWidth="1"/>
    <col min="13046" max="13046" width="10.85546875" style="7" customWidth="1"/>
    <col min="13047" max="13047" width="11.28515625" style="7" customWidth="1"/>
    <col min="13048" max="13048" width="3.5703125" style="7" customWidth="1"/>
    <col min="13049" max="13049" width="8.28515625" style="7" customWidth="1"/>
    <col min="13050" max="13050" width="10.7109375" style="7"/>
    <col min="13051" max="13051" width="3.7109375" style="7" customWidth="1"/>
    <col min="13052" max="13053" width="10.7109375" style="7"/>
    <col min="13054" max="13054" width="3.7109375" style="7" customWidth="1"/>
    <col min="13055" max="13055" width="10.28515625" style="7" customWidth="1"/>
    <col min="13056" max="13056" width="10.7109375" style="7"/>
    <col min="13057" max="13057" width="5" style="7" customWidth="1"/>
    <col min="13058" max="13058" width="8.5703125" style="7" customWidth="1"/>
    <col min="13059" max="13298" width="10.7109375" style="7"/>
    <col min="13299" max="13299" width="10.85546875" style="7" customWidth="1"/>
    <col min="13300" max="13300" width="11.28515625" style="7" customWidth="1"/>
    <col min="13301" max="13301" width="3.7109375" style="7" customWidth="1"/>
    <col min="13302" max="13302" width="10.85546875" style="7" customWidth="1"/>
    <col min="13303" max="13303" width="11.28515625" style="7" customWidth="1"/>
    <col min="13304" max="13304" width="3.5703125" style="7" customWidth="1"/>
    <col min="13305" max="13305" width="8.28515625" style="7" customWidth="1"/>
    <col min="13306" max="13306" width="10.7109375" style="7"/>
    <col min="13307" max="13307" width="3.7109375" style="7" customWidth="1"/>
    <col min="13308" max="13309" width="10.7109375" style="7"/>
    <col min="13310" max="13310" width="3.7109375" style="7" customWidth="1"/>
    <col min="13311" max="13311" width="10.28515625" style="7" customWidth="1"/>
    <col min="13312" max="13312" width="10.7109375" style="7"/>
    <col min="13313" max="13313" width="5" style="7" customWidth="1"/>
    <col min="13314" max="13314" width="8.5703125" style="7" customWidth="1"/>
    <col min="13315" max="13554" width="10.7109375" style="7"/>
    <col min="13555" max="13555" width="10.85546875" style="7" customWidth="1"/>
    <col min="13556" max="13556" width="11.28515625" style="7" customWidth="1"/>
    <col min="13557" max="13557" width="3.7109375" style="7" customWidth="1"/>
    <col min="13558" max="13558" width="10.85546875" style="7" customWidth="1"/>
    <col min="13559" max="13559" width="11.28515625" style="7" customWidth="1"/>
    <col min="13560" max="13560" width="3.5703125" style="7" customWidth="1"/>
    <col min="13561" max="13561" width="8.28515625" style="7" customWidth="1"/>
    <col min="13562" max="13562" width="10.7109375" style="7"/>
    <col min="13563" max="13563" width="3.7109375" style="7" customWidth="1"/>
    <col min="13564" max="13565" width="10.7109375" style="7"/>
    <col min="13566" max="13566" width="3.7109375" style="7" customWidth="1"/>
    <col min="13567" max="13567" width="10.28515625" style="7" customWidth="1"/>
    <col min="13568" max="13568" width="10.7109375" style="7"/>
    <col min="13569" max="13569" width="5" style="7" customWidth="1"/>
    <col min="13570" max="13570" width="8.5703125" style="7" customWidth="1"/>
    <col min="13571" max="13810" width="10.7109375" style="7"/>
    <col min="13811" max="13811" width="10.85546875" style="7" customWidth="1"/>
    <col min="13812" max="13812" width="11.28515625" style="7" customWidth="1"/>
    <col min="13813" max="13813" width="3.7109375" style="7" customWidth="1"/>
    <col min="13814" max="13814" width="10.85546875" style="7" customWidth="1"/>
    <col min="13815" max="13815" width="11.28515625" style="7" customWidth="1"/>
    <col min="13816" max="13816" width="3.5703125" style="7" customWidth="1"/>
    <col min="13817" max="13817" width="8.28515625" style="7" customWidth="1"/>
    <col min="13818" max="13818" width="10.7109375" style="7"/>
    <col min="13819" max="13819" width="3.7109375" style="7" customWidth="1"/>
    <col min="13820" max="13821" width="10.7109375" style="7"/>
    <col min="13822" max="13822" width="3.7109375" style="7" customWidth="1"/>
    <col min="13823" max="13823" width="10.28515625" style="7" customWidth="1"/>
    <col min="13824" max="13824" width="10.7109375" style="7"/>
    <col min="13825" max="13825" width="5" style="7" customWidth="1"/>
    <col min="13826" max="13826" width="8.5703125" style="7" customWidth="1"/>
    <col min="13827" max="14066" width="10.7109375" style="7"/>
    <col min="14067" max="14067" width="10.85546875" style="7" customWidth="1"/>
    <col min="14068" max="14068" width="11.28515625" style="7" customWidth="1"/>
    <col min="14069" max="14069" width="3.7109375" style="7" customWidth="1"/>
    <col min="14070" max="14070" width="10.85546875" style="7" customWidth="1"/>
    <col min="14071" max="14071" width="11.28515625" style="7" customWidth="1"/>
    <col min="14072" max="14072" width="3.5703125" style="7" customWidth="1"/>
    <col min="14073" max="14073" width="8.28515625" style="7" customWidth="1"/>
    <col min="14074" max="14074" width="10.7109375" style="7"/>
    <col min="14075" max="14075" width="3.7109375" style="7" customWidth="1"/>
    <col min="14076" max="14077" width="10.7109375" style="7"/>
    <col min="14078" max="14078" width="3.7109375" style="7" customWidth="1"/>
    <col min="14079" max="14079" width="10.28515625" style="7" customWidth="1"/>
    <col min="14080" max="14080" width="10.7109375" style="7"/>
    <col min="14081" max="14081" width="5" style="7" customWidth="1"/>
    <col min="14082" max="14082" width="8.5703125" style="7" customWidth="1"/>
    <col min="14083" max="14322" width="10.7109375" style="7"/>
    <col min="14323" max="14323" width="10.85546875" style="7" customWidth="1"/>
    <col min="14324" max="14324" width="11.28515625" style="7" customWidth="1"/>
    <col min="14325" max="14325" width="3.7109375" style="7" customWidth="1"/>
    <col min="14326" max="14326" width="10.85546875" style="7" customWidth="1"/>
    <col min="14327" max="14327" width="11.28515625" style="7" customWidth="1"/>
    <col min="14328" max="14328" width="3.5703125" style="7" customWidth="1"/>
    <col min="14329" max="14329" width="8.28515625" style="7" customWidth="1"/>
    <col min="14330" max="14330" width="10.7109375" style="7"/>
    <col min="14331" max="14331" width="3.7109375" style="7" customWidth="1"/>
    <col min="14332" max="14333" width="10.7109375" style="7"/>
    <col min="14334" max="14334" width="3.7109375" style="7" customWidth="1"/>
    <col min="14335" max="14335" width="10.28515625" style="7" customWidth="1"/>
    <col min="14336" max="14336" width="10.7109375" style="7"/>
    <col min="14337" max="14337" width="5" style="7" customWidth="1"/>
    <col min="14338" max="14338" width="8.5703125" style="7" customWidth="1"/>
    <col min="14339" max="14578" width="10.7109375" style="7"/>
    <col min="14579" max="14579" width="10.85546875" style="7" customWidth="1"/>
    <col min="14580" max="14580" width="11.28515625" style="7" customWidth="1"/>
    <col min="14581" max="14581" width="3.7109375" style="7" customWidth="1"/>
    <col min="14582" max="14582" width="10.85546875" style="7" customWidth="1"/>
    <col min="14583" max="14583" width="11.28515625" style="7" customWidth="1"/>
    <col min="14584" max="14584" width="3.5703125" style="7" customWidth="1"/>
    <col min="14585" max="14585" width="8.28515625" style="7" customWidth="1"/>
    <col min="14586" max="14586" width="10.7109375" style="7"/>
    <col min="14587" max="14587" width="3.7109375" style="7" customWidth="1"/>
    <col min="14588" max="14589" width="10.7109375" style="7"/>
    <col min="14590" max="14590" width="3.7109375" style="7" customWidth="1"/>
    <col min="14591" max="14591" width="10.28515625" style="7" customWidth="1"/>
    <col min="14592" max="14592" width="10.7109375" style="7"/>
    <col min="14593" max="14593" width="5" style="7" customWidth="1"/>
    <col min="14594" max="14594" width="8.5703125" style="7" customWidth="1"/>
    <col min="14595" max="14834" width="10.7109375" style="7"/>
    <col min="14835" max="14835" width="10.85546875" style="7" customWidth="1"/>
    <col min="14836" max="14836" width="11.28515625" style="7" customWidth="1"/>
    <col min="14837" max="14837" width="3.7109375" style="7" customWidth="1"/>
    <col min="14838" max="14838" width="10.85546875" style="7" customWidth="1"/>
    <col min="14839" max="14839" width="11.28515625" style="7" customWidth="1"/>
    <col min="14840" max="14840" width="3.5703125" style="7" customWidth="1"/>
    <col min="14841" max="14841" width="8.28515625" style="7" customWidth="1"/>
    <col min="14842" max="14842" width="10.7109375" style="7"/>
    <col min="14843" max="14843" width="3.7109375" style="7" customWidth="1"/>
    <col min="14844" max="14845" width="10.7109375" style="7"/>
    <col min="14846" max="14846" width="3.7109375" style="7" customWidth="1"/>
    <col min="14847" max="14847" width="10.28515625" style="7" customWidth="1"/>
    <col min="14848" max="14848" width="10.7109375" style="7"/>
    <col min="14849" max="14849" width="5" style="7" customWidth="1"/>
    <col min="14850" max="14850" width="8.5703125" style="7" customWidth="1"/>
    <col min="14851" max="15090" width="10.7109375" style="7"/>
    <col min="15091" max="15091" width="10.85546875" style="7" customWidth="1"/>
    <col min="15092" max="15092" width="11.28515625" style="7" customWidth="1"/>
    <col min="15093" max="15093" width="3.7109375" style="7" customWidth="1"/>
    <col min="15094" max="15094" width="10.85546875" style="7" customWidth="1"/>
    <col min="15095" max="15095" width="11.28515625" style="7" customWidth="1"/>
    <col min="15096" max="15096" width="3.5703125" style="7" customWidth="1"/>
    <col min="15097" max="15097" width="8.28515625" style="7" customWidth="1"/>
    <col min="15098" max="15098" width="10.7109375" style="7"/>
    <col min="15099" max="15099" width="3.7109375" style="7" customWidth="1"/>
    <col min="15100" max="15101" width="10.7109375" style="7"/>
    <col min="15102" max="15102" width="3.7109375" style="7" customWidth="1"/>
    <col min="15103" max="15103" width="10.28515625" style="7" customWidth="1"/>
    <col min="15104" max="15104" width="10.7109375" style="7"/>
    <col min="15105" max="15105" width="5" style="7" customWidth="1"/>
    <col min="15106" max="15106" width="8.5703125" style="7" customWidth="1"/>
    <col min="15107" max="15346" width="10.7109375" style="7"/>
    <col min="15347" max="15347" width="10.85546875" style="7" customWidth="1"/>
    <col min="15348" max="15348" width="11.28515625" style="7" customWidth="1"/>
    <col min="15349" max="15349" width="3.7109375" style="7" customWidth="1"/>
    <col min="15350" max="15350" width="10.85546875" style="7" customWidth="1"/>
    <col min="15351" max="15351" width="11.28515625" style="7" customWidth="1"/>
    <col min="15352" max="15352" width="3.5703125" style="7" customWidth="1"/>
    <col min="15353" max="15353" width="8.28515625" style="7" customWidth="1"/>
    <col min="15354" max="15354" width="10.7109375" style="7"/>
    <col min="15355" max="15355" width="3.7109375" style="7" customWidth="1"/>
    <col min="15356" max="15357" width="10.7109375" style="7"/>
    <col min="15358" max="15358" width="3.7109375" style="7" customWidth="1"/>
    <col min="15359" max="15359" width="10.28515625" style="7" customWidth="1"/>
    <col min="15360" max="15360" width="10.7109375" style="7"/>
    <col min="15361" max="15361" width="5" style="7" customWidth="1"/>
    <col min="15362" max="15362" width="8.5703125" style="7" customWidth="1"/>
    <col min="15363" max="15602" width="10.7109375" style="7"/>
    <col min="15603" max="15603" width="10.85546875" style="7" customWidth="1"/>
    <col min="15604" max="15604" width="11.28515625" style="7" customWidth="1"/>
    <col min="15605" max="15605" width="3.7109375" style="7" customWidth="1"/>
    <col min="15606" max="15606" width="10.85546875" style="7" customWidth="1"/>
    <col min="15607" max="15607" width="11.28515625" style="7" customWidth="1"/>
    <col min="15608" max="15608" width="3.5703125" style="7" customWidth="1"/>
    <col min="15609" max="15609" width="8.28515625" style="7" customWidth="1"/>
    <col min="15610" max="15610" width="10.7109375" style="7"/>
    <col min="15611" max="15611" width="3.7109375" style="7" customWidth="1"/>
    <col min="15612" max="15613" width="10.7109375" style="7"/>
    <col min="15614" max="15614" width="3.7109375" style="7" customWidth="1"/>
    <col min="15615" max="15615" width="10.28515625" style="7" customWidth="1"/>
    <col min="15616" max="15616" width="10.7109375" style="7"/>
    <col min="15617" max="15617" width="5" style="7" customWidth="1"/>
    <col min="15618" max="15618" width="8.5703125" style="7" customWidth="1"/>
    <col min="15619" max="15858" width="10.7109375" style="7"/>
    <col min="15859" max="15859" width="10.85546875" style="7" customWidth="1"/>
    <col min="15860" max="15860" width="11.28515625" style="7" customWidth="1"/>
    <col min="15861" max="15861" width="3.7109375" style="7" customWidth="1"/>
    <col min="15862" max="15862" width="10.85546875" style="7" customWidth="1"/>
    <col min="15863" max="15863" width="11.28515625" style="7" customWidth="1"/>
    <col min="15864" max="15864" width="3.5703125" style="7" customWidth="1"/>
    <col min="15865" max="15865" width="8.28515625" style="7" customWidth="1"/>
    <col min="15866" max="15866" width="10.7109375" style="7"/>
    <col min="15867" max="15867" width="3.7109375" style="7" customWidth="1"/>
    <col min="15868" max="15869" width="10.7109375" style="7"/>
    <col min="15870" max="15870" width="3.7109375" style="7" customWidth="1"/>
    <col min="15871" max="15871" width="10.28515625" style="7" customWidth="1"/>
    <col min="15872" max="15872" width="10.7109375" style="7"/>
    <col min="15873" max="15873" width="5" style="7" customWidth="1"/>
    <col min="15874" max="15874" width="8.5703125" style="7" customWidth="1"/>
    <col min="15875" max="16114" width="10.7109375" style="7"/>
    <col min="16115" max="16115" width="10.85546875" style="7" customWidth="1"/>
    <col min="16116" max="16116" width="11.28515625" style="7" customWidth="1"/>
    <col min="16117" max="16117" width="3.7109375" style="7" customWidth="1"/>
    <col min="16118" max="16118" width="10.85546875" style="7" customWidth="1"/>
    <col min="16119" max="16119" width="11.28515625" style="7" customWidth="1"/>
    <col min="16120" max="16120" width="3.5703125" style="7" customWidth="1"/>
    <col min="16121" max="16121" width="8.28515625" style="7" customWidth="1"/>
    <col min="16122" max="16122" width="10.7109375" style="7"/>
    <col min="16123" max="16123" width="3.7109375" style="7" customWidth="1"/>
    <col min="16124" max="16125" width="10.7109375" style="7"/>
    <col min="16126" max="16126" width="3.7109375" style="7" customWidth="1"/>
    <col min="16127" max="16127" width="10.28515625" style="7" customWidth="1"/>
    <col min="16128" max="16128" width="10.7109375" style="7"/>
    <col min="16129" max="16129" width="5" style="7" customWidth="1"/>
    <col min="16130" max="16130" width="8.5703125" style="7" customWidth="1"/>
    <col min="16131" max="16384" width="10.7109375" style="7"/>
  </cols>
  <sheetData>
    <row r="1" spans="1:3" s="4" customFormat="1" ht="14.25" thickTop="1" thickBot="1" x14ac:dyDescent="0.25">
      <c r="A1" s="1" t="s">
        <v>1</v>
      </c>
      <c r="B1" s="2" t="s">
        <v>0</v>
      </c>
      <c r="C1" s="3"/>
    </row>
    <row r="2" spans="1:3" ht="13.5" thickTop="1" x14ac:dyDescent="0.2">
      <c r="A2" s="5">
        <v>1</v>
      </c>
      <c r="B2" s="11">
        <v>997151</v>
      </c>
    </row>
    <row r="3" spans="1:3" x14ac:dyDescent="0.2">
      <c r="A3" s="5">
        <v>2</v>
      </c>
      <c r="B3" s="11">
        <v>996766</v>
      </c>
    </row>
    <row r="4" spans="1:3" x14ac:dyDescent="0.2">
      <c r="A4" s="5">
        <v>3</v>
      </c>
      <c r="B4" s="11">
        <v>996470</v>
      </c>
    </row>
    <row r="5" spans="1:3" x14ac:dyDescent="0.2">
      <c r="A5" s="5">
        <v>4</v>
      </c>
      <c r="B5" s="11">
        <v>996219</v>
      </c>
    </row>
    <row r="6" spans="1:3" x14ac:dyDescent="0.2">
      <c r="A6" s="5">
        <v>5</v>
      </c>
      <c r="B6" s="11">
        <v>996004</v>
      </c>
    </row>
    <row r="7" spans="1:3" x14ac:dyDescent="0.2">
      <c r="A7" s="5">
        <v>6</v>
      </c>
      <c r="B7" s="11">
        <v>995808</v>
      </c>
    </row>
    <row r="8" spans="1:3" x14ac:dyDescent="0.2">
      <c r="A8" s="5">
        <v>7</v>
      </c>
      <c r="B8" s="11">
        <v>995631</v>
      </c>
    </row>
    <row r="9" spans="1:3" x14ac:dyDescent="0.2">
      <c r="A9" s="5">
        <v>8</v>
      </c>
      <c r="B9" s="11">
        <v>995465</v>
      </c>
    </row>
    <row r="10" spans="1:3" x14ac:dyDescent="0.2">
      <c r="A10" s="5">
        <v>9</v>
      </c>
      <c r="B10" s="11">
        <v>995298</v>
      </c>
    </row>
    <row r="11" spans="1:3" x14ac:dyDescent="0.2">
      <c r="A11" s="5">
        <v>10</v>
      </c>
      <c r="B11" s="11">
        <v>995142</v>
      </c>
    </row>
    <row r="12" spans="1:3" x14ac:dyDescent="0.2">
      <c r="A12" s="5">
        <v>11</v>
      </c>
      <c r="B12" s="11">
        <v>994975</v>
      </c>
    </row>
    <row r="13" spans="1:3" x14ac:dyDescent="0.2">
      <c r="A13" s="5">
        <v>12</v>
      </c>
      <c r="B13" s="11">
        <v>994809</v>
      </c>
    </row>
    <row r="14" spans="1:3" x14ac:dyDescent="0.2">
      <c r="A14" s="5">
        <v>13</v>
      </c>
      <c r="B14" s="11">
        <v>994613</v>
      </c>
    </row>
    <row r="15" spans="1:3" x14ac:dyDescent="0.2">
      <c r="A15" s="5">
        <v>14</v>
      </c>
      <c r="B15" s="11">
        <v>994380</v>
      </c>
    </row>
    <row r="16" spans="1:3" x14ac:dyDescent="0.2">
      <c r="A16" s="5">
        <v>15</v>
      </c>
      <c r="B16" s="11">
        <v>994093</v>
      </c>
    </row>
    <row r="17" spans="1:2" x14ac:dyDescent="0.2">
      <c r="A17" s="5">
        <v>16</v>
      </c>
      <c r="B17" s="11">
        <v>993716</v>
      </c>
    </row>
    <row r="18" spans="1:2" x14ac:dyDescent="0.2">
      <c r="A18" s="5">
        <v>17</v>
      </c>
      <c r="B18" s="11">
        <v>993238</v>
      </c>
    </row>
    <row r="19" spans="1:2" x14ac:dyDescent="0.2">
      <c r="A19" s="5">
        <v>18</v>
      </c>
      <c r="B19" s="11">
        <v>992644</v>
      </c>
    </row>
    <row r="20" spans="1:2" x14ac:dyDescent="0.2">
      <c r="A20" s="5">
        <v>19</v>
      </c>
      <c r="B20" s="11">
        <v>991941</v>
      </c>
    </row>
    <row r="21" spans="1:2" x14ac:dyDescent="0.2">
      <c r="A21" s="5">
        <v>20</v>
      </c>
      <c r="B21" s="11">
        <v>991158</v>
      </c>
    </row>
    <row r="22" spans="1:2" x14ac:dyDescent="0.2">
      <c r="A22" s="5">
        <v>21</v>
      </c>
      <c r="B22" s="11">
        <v>990329</v>
      </c>
    </row>
    <row r="23" spans="1:2" x14ac:dyDescent="0.2">
      <c r="A23" s="5">
        <v>22</v>
      </c>
      <c r="B23" s="11">
        <v>989470</v>
      </c>
    </row>
    <row r="24" spans="1:2" x14ac:dyDescent="0.2">
      <c r="A24" s="5">
        <v>23</v>
      </c>
      <c r="B24" s="11">
        <v>988594</v>
      </c>
    </row>
    <row r="25" spans="1:2" x14ac:dyDescent="0.2">
      <c r="A25" s="5">
        <v>24</v>
      </c>
      <c r="B25" s="11">
        <v>987701</v>
      </c>
    </row>
    <row r="26" spans="1:2" x14ac:dyDescent="0.2">
      <c r="A26" s="5">
        <v>25</v>
      </c>
      <c r="B26" s="11">
        <v>986790</v>
      </c>
    </row>
    <row r="27" spans="1:2" x14ac:dyDescent="0.2">
      <c r="A27" s="5">
        <v>26</v>
      </c>
      <c r="B27" s="11">
        <v>985861</v>
      </c>
    </row>
    <row r="28" spans="1:2" x14ac:dyDescent="0.2">
      <c r="A28" s="5">
        <v>27</v>
      </c>
      <c r="B28" s="11">
        <v>984906</v>
      </c>
    </row>
    <row r="29" spans="1:2" x14ac:dyDescent="0.2">
      <c r="A29" s="5">
        <v>28</v>
      </c>
      <c r="B29" s="11">
        <v>983926</v>
      </c>
    </row>
    <row r="30" spans="1:2" x14ac:dyDescent="0.2">
      <c r="A30" s="5">
        <v>29</v>
      </c>
      <c r="B30" s="11">
        <v>982920</v>
      </c>
    </row>
    <row r="31" spans="1:2" x14ac:dyDescent="0.2">
      <c r="A31" s="5">
        <v>30</v>
      </c>
      <c r="B31" s="11">
        <v>981887</v>
      </c>
    </row>
    <row r="32" spans="1:2" x14ac:dyDescent="0.2">
      <c r="A32" s="5">
        <v>31</v>
      </c>
      <c r="B32" s="11">
        <v>980831</v>
      </c>
    </row>
    <row r="33" spans="1:5" x14ac:dyDescent="0.2">
      <c r="A33" s="5">
        <v>32</v>
      </c>
      <c r="B33" s="11">
        <v>979754</v>
      </c>
    </row>
    <row r="34" spans="1:5" x14ac:dyDescent="0.2">
      <c r="A34" s="5">
        <v>33</v>
      </c>
      <c r="B34" s="11">
        <v>978640</v>
      </c>
    </row>
    <row r="35" spans="1:5" x14ac:dyDescent="0.2">
      <c r="A35" s="5">
        <v>34</v>
      </c>
      <c r="B35" s="11">
        <v>977475</v>
      </c>
    </row>
    <row r="36" spans="1:5" x14ac:dyDescent="0.2">
      <c r="A36" s="5">
        <v>35</v>
      </c>
      <c r="B36" s="11">
        <v>976240</v>
      </c>
    </row>
    <row r="37" spans="1:5" x14ac:dyDescent="0.2">
      <c r="A37" s="5">
        <v>36</v>
      </c>
      <c r="B37" s="11">
        <v>974934</v>
      </c>
    </row>
    <row r="38" spans="1:5" x14ac:dyDescent="0.2">
      <c r="A38" s="5">
        <v>37</v>
      </c>
      <c r="B38" s="11">
        <v>973545</v>
      </c>
    </row>
    <row r="39" spans="1:5" x14ac:dyDescent="0.2">
      <c r="A39" s="5">
        <v>38</v>
      </c>
      <c r="B39" s="11">
        <v>972069</v>
      </c>
    </row>
    <row r="40" spans="1:5" x14ac:dyDescent="0.2">
      <c r="A40" s="5">
        <v>39</v>
      </c>
      <c r="B40" s="11">
        <v>970492</v>
      </c>
      <c r="E40" s="8"/>
    </row>
    <row r="41" spans="1:5" x14ac:dyDescent="0.2">
      <c r="A41" s="5">
        <v>40</v>
      </c>
      <c r="B41" s="11">
        <v>968796</v>
      </c>
      <c r="E41" s="8"/>
    </row>
    <row r="42" spans="1:5" x14ac:dyDescent="0.2">
      <c r="A42" s="5">
        <v>41</v>
      </c>
      <c r="B42" s="11">
        <v>966965</v>
      </c>
      <c r="E42" s="8"/>
    </row>
    <row r="43" spans="1:5" x14ac:dyDescent="0.2">
      <c r="A43" s="5">
        <v>42</v>
      </c>
      <c r="B43" s="11">
        <v>964970</v>
      </c>
    </row>
    <row r="44" spans="1:5" x14ac:dyDescent="0.2">
      <c r="A44" s="5">
        <v>43</v>
      </c>
      <c r="B44" s="11">
        <v>962808</v>
      </c>
    </row>
    <row r="45" spans="1:5" x14ac:dyDescent="0.2">
      <c r="A45" s="5">
        <v>44</v>
      </c>
      <c r="B45" s="11">
        <v>960464</v>
      </c>
    </row>
    <row r="46" spans="1:5" x14ac:dyDescent="0.2">
      <c r="A46" s="5">
        <v>45</v>
      </c>
      <c r="B46" s="11">
        <v>957930</v>
      </c>
    </row>
    <row r="47" spans="1:5" x14ac:dyDescent="0.2">
      <c r="A47" s="5">
        <v>46</v>
      </c>
      <c r="B47" s="11">
        <v>955197</v>
      </c>
    </row>
    <row r="48" spans="1:5" x14ac:dyDescent="0.2">
      <c r="A48" s="5">
        <v>47</v>
      </c>
      <c r="B48" s="11">
        <v>952268</v>
      </c>
    </row>
    <row r="49" spans="1:2" x14ac:dyDescent="0.2">
      <c r="A49" s="5">
        <v>48</v>
      </c>
      <c r="B49" s="11">
        <v>949153</v>
      </c>
    </row>
    <row r="50" spans="1:2" x14ac:dyDescent="0.2">
      <c r="A50" s="5">
        <v>49</v>
      </c>
      <c r="B50" s="11">
        <v>945859</v>
      </c>
    </row>
    <row r="51" spans="1:2" x14ac:dyDescent="0.2">
      <c r="A51" s="5">
        <v>50</v>
      </c>
      <c r="B51" s="11">
        <v>942387</v>
      </c>
    </row>
    <row r="52" spans="1:2" x14ac:dyDescent="0.2">
      <c r="A52" s="5">
        <v>51</v>
      </c>
      <c r="B52" s="11">
        <v>938740</v>
      </c>
    </row>
    <row r="53" spans="1:2" x14ac:dyDescent="0.2">
      <c r="A53" s="5">
        <v>52</v>
      </c>
      <c r="B53" s="11">
        <v>934903</v>
      </c>
    </row>
    <row r="54" spans="1:2" x14ac:dyDescent="0.2">
      <c r="A54" s="5">
        <v>53</v>
      </c>
      <c r="B54" s="11">
        <v>930868</v>
      </c>
    </row>
    <row r="55" spans="1:2" x14ac:dyDescent="0.2">
      <c r="A55" s="5">
        <v>54</v>
      </c>
      <c r="B55" s="11">
        <v>926624</v>
      </c>
    </row>
    <row r="56" spans="1:2" x14ac:dyDescent="0.2">
      <c r="A56" s="5">
        <v>55</v>
      </c>
      <c r="B56" s="11">
        <v>922159</v>
      </c>
    </row>
    <row r="57" spans="1:2" x14ac:dyDescent="0.2">
      <c r="A57" s="5">
        <v>56</v>
      </c>
      <c r="B57" s="11">
        <v>917468</v>
      </c>
    </row>
    <row r="58" spans="1:2" x14ac:dyDescent="0.2">
      <c r="A58" s="5">
        <v>57</v>
      </c>
      <c r="B58" s="11">
        <v>912551</v>
      </c>
    </row>
    <row r="59" spans="1:2" x14ac:dyDescent="0.2">
      <c r="A59" s="5">
        <v>58</v>
      </c>
      <c r="B59" s="11">
        <v>907329</v>
      </c>
    </row>
    <row r="60" spans="1:2" x14ac:dyDescent="0.2">
      <c r="A60" s="5">
        <v>59</v>
      </c>
      <c r="B60" s="11">
        <v>901760</v>
      </c>
    </row>
    <row r="61" spans="1:2" x14ac:dyDescent="0.2">
      <c r="A61" s="5">
        <v>60</v>
      </c>
      <c r="B61" s="11">
        <v>895757</v>
      </c>
    </row>
    <row r="62" spans="1:2" x14ac:dyDescent="0.2">
      <c r="A62" s="5">
        <v>61</v>
      </c>
      <c r="B62" s="11">
        <v>889312</v>
      </c>
    </row>
    <row r="63" spans="1:2" x14ac:dyDescent="0.2">
      <c r="A63" s="5">
        <v>62</v>
      </c>
      <c r="B63" s="11">
        <v>882341</v>
      </c>
    </row>
    <row r="64" spans="1:2" x14ac:dyDescent="0.2">
      <c r="A64" s="5">
        <v>63</v>
      </c>
      <c r="B64" s="11">
        <v>874835</v>
      </c>
    </row>
    <row r="65" spans="1:2" x14ac:dyDescent="0.2">
      <c r="A65" s="5">
        <v>64</v>
      </c>
      <c r="B65" s="11">
        <v>866785</v>
      </c>
    </row>
    <row r="66" spans="1:2" x14ac:dyDescent="0.2">
      <c r="A66" s="5">
        <v>65</v>
      </c>
      <c r="B66" s="11">
        <v>858105</v>
      </c>
    </row>
    <row r="67" spans="1:2" x14ac:dyDescent="0.2">
      <c r="A67" s="5">
        <v>66</v>
      </c>
      <c r="B67" s="11">
        <v>848790</v>
      </c>
    </row>
    <row r="68" spans="1:2" x14ac:dyDescent="0.2">
      <c r="A68" s="5">
        <v>67</v>
      </c>
      <c r="B68" s="11">
        <v>838825</v>
      </c>
    </row>
    <row r="69" spans="1:2" x14ac:dyDescent="0.2">
      <c r="A69" s="5">
        <v>68</v>
      </c>
      <c r="B69" s="11">
        <v>828264</v>
      </c>
    </row>
    <row r="70" spans="1:2" x14ac:dyDescent="0.2">
      <c r="A70" s="5">
        <v>69</v>
      </c>
      <c r="B70" s="11">
        <v>817076</v>
      </c>
    </row>
    <row r="71" spans="1:2" x14ac:dyDescent="0.2">
      <c r="A71" s="5">
        <v>70</v>
      </c>
      <c r="B71" s="11">
        <v>805235</v>
      </c>
    </row>
    <row r="72" spans="1:2" x14ac:dyDescent="0.2">
      <c r="A72" s="5">
        <v>71</v>
      </c>
      <c r="B72" s="11">
        <v>792706</v>
      </c>
    </row>
    <row r="73" spans="1:2" x14ac:dyDescent="0.2">
      <c r="A73" s="5">
        <v>72</v>
      </c>
      <c r="B73" s="11">
        <v>779457</v>
      </c>
    </row>
    <row r="74" spans="1:2" x14ac:dyDescent="0.2">
      <c r="A74" s="5">
        <v>73</v>
      </c>
      <c r="B74" s="11">
        <v>765475</v>
      </c>
    </row>
    <row r="75" spans="1:2" x14ac:dyDescent="0.2">
      <c r="A75" s="5">
        <v>74</v>
      </c>
      <c r="B75" s="11">
        <v>750740</v>
      </c>
    </row>
    <row r="76" spans="1:2" x14ac:dyDescent="0.2">
      <c r="A76" s="5">
        <v>75</v>
      </c>
      <c r="B76" s="11">
        <v>735231</v>
      </c>
    </row>
    <row r="77" spans="1:2" x14ac:dyDescent="0.2">
      <c r="A77" s="5">
        <v>76</v>
      </c>
      <c r="B77" s="11">
        <v>718908</v>
      </c>
    </row>
    <row r="78" spans="1:2" x14ac:dyDescent="0.2">
      <c r="A78" s="5">
        <v>77</v>
      </c>
      <c r="B78" s="11">
        <v>701727</v>
      </c>
    </row>
    <row r="79" spans="1:2" x14ac:dyDescent="0.2">
      <c r="A79" s="5">
        <v>78</v>
      </c>
      <c r="B79" s="11">
        <v>683655</v>
      </c>
    </row>
    <row r="80" spans="1:2" x14ac:dyDescent="0.2">
      <c r="A80" s="5">
        <v>79</v>
      </c>
      <c r="B80" s="11">
        <v>664639</v>
      </c>
    </row>
    <row r="81" spans="1:2" x14ac:dyDescent="0.2">
      <c r="A81" s="5">
        <v>80</v>
      </c>
      <c r="B81" s="11">
        <v>644582</v>
      </c>
    </row>
    <row r="82" spans="1:2" x14ac:dyDescent="0.2">
      <c r="A82" s="5">
        <v>81</v>
      </c>
      <c r="B82" s="11">
        <v>623368</v>
      </c>
    </row>
    <row r="83" spans="1:2" x14ac:dyDescent="0.2">
      <c r="A83" s="5">
        <v>82</v>
      </c>
      <c r="B83" s="11">
        <v>600905</v>
      </c>
    </row>
    <row r="84" spans="1:2" x14ac:dyDescent="0.2">
      <c r="A84" s="5">
        <v>83</v>
      </c>
      <c r="B84" s="11">
        <v>577171</v>
      </c>
    </row>
    <row r="85" spans="1:2" x14ac:dyDescent="0.2">
      <c r="A85" s="5">
        <v>84</v>
      </c>
      <c r="B85" s="11">
        <v>552228</v>
      </c>
    </row>
    <row r="86" spans="1:2" x14ac:dyDescent="0.2">
      <c r="A86" s="5">
        <v>85</v>
      </c>
      <c r="B86" s="11">
        <v>526202</v>
      </c>
    </row>
    <row r="87" spans="1:2" x14ac:dyDescent="0.2">
      <c r="A87" s="5">
        <v>86</v>
      </c>
      <c r="B87" s="11">
        <v>499209</v>
      </c>
    </row>
    <row r="88" spans="1:2" x14ac:dyDescent="0.2">
      <c r="A88" s="5">
        <v>87</v>
      </c>
      <c r="B88" s="11">
        <v>471365</v>
      </c>
    </row>
    <row r="89" spans="1:2" x14ac:dyDescent="0.2">
      <c r="A89" s="5">
        <v>88</v>
      </c>
      <c r="B89" s="11">
        <v>442823</v>
      </c>
    </row>
    <row r="90" spans="1:2" x14ac:dyDescent="0.2">
      <c r="A90" s="5">
        <v>89</v>
      </c>
      <c r="B90" s="11">
        <v>413769</v>
      </c>
    </row>
    <row r="91" spans="1:2" x14ac:dyDescent="0.2">
      <c r="A91" s="5">
        <v>90</v>
      </c>
      <c r="B91" s="11">
        <v>384431</v>
      </c>
    </row>
    <row r="92" spans="1:2" x14ac:dyDescent="0.2">
      <c r="A92" s="5">
        <v>91</v>
      </c>
      <c r="B92" s="11">
        <v>355057</v>
      </c>
    </row>
    <row r="93" spans="1:2" x14ac:dyDescent="0.2">
      <c r="A93" s="5">
        <v>92</v>
      </c>
      <c r="B93" s="11">
        <v>324275</v>
      </c>
    </row>
    <row r="94" spans="1:2" x14ac:dyDescent="0.2">
      <c r="A94" s="5">
        <v>93</v>
      </c>
      <c r="B94" s="11">
        <v>290522</v>
      </c>
    </row>
    <row r="95" spans="1:2" x14ac:dyDescent="0.2">
      <c r="A95" s="5">
        <v>94</v>
      </c>
      <c r="B95" s="11">
        <v>254287</v>
      </c>
    </row>
    <row r="96" spans="1:2" x14ac:dyDescent="0.2">
      <c r="A96" s="5">
        <v>95</v>
      </c>
      <c r="B96" s="11">
        <v>216374</v>
      </c>
    </row>
    <row r="97" spans="1:3" x14ac:dyDescent="0.2">
      <c r="A97" s="5">
        <v>96</v>
      </c>
      <c r="B97" s="11">
        <v>177918</v>
      </c>
    </row>
    <row r="98" spans="1:3" x14ac:dyDescent="0.2">
      <c r="A98" s="5">
        <v>97</v>
      </c>
      <c r="B98" s="11">
        <v>140351</v>
      </c>
    </row>
    <row r="99" spans="1:3" x14ac:dyDescent="0.2">
      <c r="A99" s="5">
        <v>98</v>
      </c>
      <c r="B99" s="11">
        <v>105288</v>
      </c>
    </row>
    <row r="100" spans="1:3" x14ac:dyDescent="0.2">
      <c r="A100" s="5">
        <v>99</v>
      </c>
      <c r="B100" s="11">
        <v>74315</v>
      </c>
    </row>
    <row r="101" spans="1:3" x14ac:dyDescent="0.2">
      <c r="A101" s="5">
        <v>100</v>
      </c>
      <c r="B101" s="11">
        <v>48718</v>
      </c>
    </row>
    <row r="102" spans="1:3" x14ac:dyDescent="0.2">
      <c r="A102" s="5">
        <v>101</v>
      </c>
      <c r="B102" s="11">
        <v>29204</v>
      </c>
    </row>
    <row r="103" spans="1:3" x14ac:dyDescent="0.2">
      <c r="A103" s="5">
        <v>102</v>
      </c>
      <c r="B103" s="11">
        <v>15706</v>
      </c>
    </row>
    <row r="104" spans="1:3" x14ac:dyDescent="0.2">
      <c r="A104" s="5">
        <v>103</v>
      </c>
      <c r="B104" s="11">
        <v>7406</v>
      </c>
    </row>
    <row r="105" spans="1:3" x14ac:dyDescent="0.2">
      <c r="A105" s="5">
        <v>104</v>
      </c>
      <c r="B105" s="11">
        <v>2978</v>
      </c>
    </row>
    <row r="106" spans="1:3" x14ac:dyDescent="0.2">
      <c r="A106" s="5">
        <v>105</v>
      </c>
      <c r="B106" s="12">
        <v>987</v>
      </c>
    </row>
    <row r="107" spans="1:3" ht="13.5" thickBot="1" x14ac:dyDescent="0.25">
      <c r="A107" s="9">
        <v>106</v>
      </c>
      <c r="B107" s="13">
        <v>0</v>
      </c>
      <c r="C107" s="10"/>
    </row>
    <row r="108" spans="1:3" ht="13.5" thickTop="1" x14ac:dyDescent="0.2"/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L25"/>
  <sheetViews>
    <sheetView showGridLines="0" tabSelected="1" zoomScaleNormal="100" workbookViewId="0">
      <selection activeCell="C3" sqref="C3:F3"/>
    </sheetView>
  </sheetViews>
  <sheetFormatPr baseColWidth="10" defaultColWidth="10.7109375" defaultRowHeight="19.899999999999999" customHeight="1" x14ac:dyDescent="0.25"/>
  <cols>
    <col min="1" max="1" width="5" style="14" customWidth="1"/>
    <col min="2" max="2" width="40.5703125" style="14" customWidth="1"/>
    <col min="3" max="3" width="25.140625" style="14" bestFit="1" customWidth="1"/>
    <col min="4" max="4" width="15.85546875" style="14" customWidth="1"/>
    <col min="5" max="5" width="27" style="14" customWidth="1"/>
    <col min="6" max="6" width="13.28515625" style="14" customWidth="1"/>
    <col min="7" max="7" width="5" style="14" customWidth="1"/>
    <col min="8" max="8" width="11.7109375" style="14" customWidth="1"/>
    <col min="9" max="9" width="34.28515625" style="14" customWidth="1"/>
    <col min="10" max="11" width="14.140625" style="14" bestFit="1" customWidth="1"/>
    <col min="12" max="16" width="12.7109375" style="14" bestFit="1" customWidth="1"/>
    <col min="17" max="16384" width="10.7109375" style="14"/>
  </cols>
  <sheetData>
    <row r="1" spans="1:12" ht="30.95" customHeight="1" thickBot="1" x14ac:dyDescent="0.3">
      <c r="A1" s="42" t="s">
        <v>4</v>
      </c>
      <c r="B1" s="43"/>
      <c r="C1" s="43"/>
      <c r="D1" s="43"/>
      <c r="E1" s="43"/>
      <c r="F1" s="43"/>
      <c r="G1" s="44"/>
    </row>
    <row r="2" spans="1:12" ht="19.899999999999999" customHeight="1" thickBot="1" x14ac:dyDescent="0.3">
      <c r="A2" s="22"/>
      <c r="B2" s="15"/>
      <c r="C2" s="15"/>
      <c r="D2" s="15"/>
      <c r="E2" s="15"/>
      <c r="F2" s="15"/>
      <c r="G2" s="23"/>
    </row>
    <row r="3" spans="1:12" ht="31.5" customHeight="1" thickBot="1" x14ac:dyDescent="0.3">
      <c r="A3" s="20"/>
      <c r="B3" s="28" t="s">
        <v>6</v>
      </c>
      <c r="C3" s="45" t="s">
        <v>18</v>
      </c>
      <c r="D3" s="46"/>
      <c r="E3" s="46"/>
      <c r="F3" s="47"/>
      <c r="G3" s="16"/>
    </row>
    <row r="4" spans="1:12" ht="10.35" customHeight="1" thickBot="1" x14ac:dyDescent="0.3">
      <c r="A4" s="20"/>
      <c r="B4" s="28"/>
      <c r="C4" s="27"/>
      <c r="D4" s="27"/>
      <c r="E4" s="27"/>
      <c r="F4" s="27"/>
      <c r="G4" s="16"/>
    </row>
    <row r="5" spans="1:12" ht="31.5" customHeight="1" thickBot="1" x14ac:dyDescent="0.3">
      <c r="A5" s="20"/>
      <c r="B5" s="28" t="s">
        <v>7</v>
      </c>
      <c r="C5" s="45" t="s">
        <v>17</v>
      </c>
      <c r="D5" s="46"/>
      <c r="E5" s="46"/>
      <c r="F5" s="47"/>
      <c r="G5" s="16"/>
      <c r="I5" s="14" t="s">
        <v>2</v>
      </c>
    </row>
    <row r="6" spans="1:12" ht="10.35" customHeight="1" thickBot="1" x14ac:dyDescent="0.3">
      <c r="A6" s="20"/>
      <c r="B6" s="28"/>
      <c r="C6" s="27"/>
      <c r="D6" s="27"/>
      <c r="E6" s="27"/>
      <c r="F6" s="27"/>
      <c r="G6" s="16"/>
    </row>
    <row r="7" spans="1:12" ht="31.5" customHeight="1" thickBot="1" x14ac:dyDescent="0.3">
      <c r="A7" s="20"/>
      <c r="B7" s="28" t="s">
        <v>8</v>
      </c>
      <c r="C7" s="45">
        <v>33208</v>
      </c>
      <c r="D7" s="46"/>
      <c r="E7" s="46"/>
      <c r="F7" s="47"/>
      <c r="G7" s="16"/>
    </row>
    <row r="8" spans="1:12" ht="10.15" customHeight="1" thickBot="1" x14ac:dyDescent="0.3">
      <c r="A8" s="20"/>
      <c r="B8" s="28"/>
      <c r="C8" s="27"/>
      <c r="D8" s="27"/>
      <c r="E8" s="27"/>
      <c r="F8" s="27"/>
      <c r="G8" s="16"/>
      <c r="L8" s="14" t="s">
        <v>2</v>
      </c>
    </row>
    <row r="9" spans="1:12" ht="31.5" customHeight="1" thickBot="1" x14ac:dyDescent="0.3">
      <c r="A9" s="20"/>
      <c r="B9" s="28" t="s">
        <v>21</v>
      </c>
      <c r="C9" s="45" t="s">
        <v>33</v>
      </c>
      <c r="D9" s="46"/>
      <c r="E9" s="46"/>
      <c r="F9" s="47"/>
      <c r="G9" s="16"/>
    </row>
    <row r="10" spans="1:12" ht="10.15" customHeight="1" thickBot="1" x14ac:dyDescent="0.3">
      <c r="A10" s="20"/>
      <c r="B10" s="28"/>
      <c r="C10" s="27"/>
      <c r="D10" s="27"/>
      <c r="E10" s="27"/>
      <c r="F10" s="27"/>
      <c r="G10" s="16"/>
    </row>
    <row r="11" spans="1:12" ht="31.5" customHeight="1" thickBot="1" x14ac:dyDescent="0.3">
      <c r="A11" s="20"/>
      <c r="B11" s="28" t="s">
        <v>9</v>
      </c>
      <c r="C11" s="45" t="s">
        <v>20</v>
      </c>
      <c r="D11" s="46"/>
      <c r="E11" s="46"/>
      <c r="F11" s="47"/>
      <c r="G11" s="16"/>
    </row>
    <row r="12" spans="1:12" ht="10.15" customHeight="1" thickBot="1" x14ac:dyDescent="0.3">
      <c r="A12" s="20"/>
      <c r="B12" s="28"/>
      <c r="C12" s="27"/>
      <c r="D12" s="27"/>
      <c r="E12" s="27"/>
      <c r="F12" s="27"/>
      <c r="G12" s="16"/>
    </row>
    <row r="13" spans="1:12" ht="31.5" customHeight="1" thickBot="1" x14ac:dyDescent="0.3">
      <c r="A13" s="20"/>
      <c r="B13" s="28" t="s">
        <v>10</v>
      </c>
      <c r="C13" s="48">
        <v>600000</v>
      </c>
      <c r="D13" s="49"/>
      <c r="E13" s="49"/>
      <c r="F13" s="50"/>
      <c r="G13" s="16"/>
    </row>
    <row r="14" spans="1:12" ht="10.35" customHeight="1" thickBot="1" x14ac:dyDescent="0.3">
      <c r="A14" s="20"/>
      <c r="B14" s="28"/>
      <c r="C14" s="27"/>
      <c r="D14" s="27"/>
      <c r="E14" s="27"/>
      <c r="F14" s="27"/>
      <c r="G14" s="16"/>
    </row>
    <row r="15" spans="1:12" ht="34.35" customHeight="1" thickBot="1" x14ac:dyDescent="0.3">
      <c r="A15" s="20"/>
      <c r="B15" s="28" t="s">
        <v>11</v>
      </c>
      <c r="C15" s="45">
        <v>46023</v>
      </c>
      <c r="D15" s="46"/>
      <c r="E15" s="46"/>
      <c r="F15" s="47"/>
      <c r="G15" s="16"/>
    </row>
    <row r="16" spans="1:12" ht="19.899999999999999" customHeight="1" thickBot="1" x14ac:dyDescent="0.3">
      <c r="A16" s="21"/>
      <c r="B16" s="25"/>
      <c r="C16" s="17"/>
      <c r="D16" s="17"/>
      <c r="E16" s="17"/>
      <c r="F16" s="17"/>
      <c r="G16" s="18"/>
    </row>
    <row r="17" spans="1:7" ht="32.85" customHeight="1" thickBot="1" x14ac:dyDescent="0.3">
      <c r="C17" s="19"/>
      <c r="D17" s="19"/>
      <c r="E17" s="19"/>
      <c r="F17" s="19"/>
    </row>
    <row r="18" spans="1:7" ht="29.45" customHeight="1" thickBot="1" x14ac:dyDescent="0.3">
      <c r="A18" s="42" t="s">
        <v>19</v>
      </c>
      <c r="B18" s="43"/>
      <c r="C18" s="43"/>
      <c r="D18" s="43"/>
      <c r="E18" s="43"/>
      <c r="F18" s="43"/>
      <c r="G18" s="44"/>
    </row>
    <row r="19" spans="1:7" ht="22.9" customHeight="1" thickBot="1" x14ac:dyDescent="0.3">
      <c r="A19" s="20"/>
      <c r="B19" s="24"/>
      <c r="C19" s="24"/>
      <c r="D19" s="24"/>
      <c r="E19" s="24"/>
      <c r="F19" s="24"/>
      <c r="G19" s="16"/>
    </row>
    <row r="20" spans="1:7" ht="34.35" customHeight="1" thickBot="1" x14ac:dyDescent="0.3">
      <c r="A20" s="20"/>
      <c r="B20" s="29" t="s">
        <v>12</v>
      </c>
      <c r="C20" s="41">
        <f>IF(C9="Contractuel",60,IF(OR(C11="A4",C11="A5",C11="A6",C11="A7"),65,60))</f>
        <v>65</v>
      </c>
      <c r="D20" s="30"/>
      <c r="E20" s="30"/>
      <c r="F20" s="31"/>
      <c r="G20" s="16"/>
    </row>
    <row r="21" spans="1:7" ht="34.35" customHeight="1" thickBot="1" x14ac:dyDescent="0.3">
      <c r="A21" s="20"/>
      <c r="B21" s="32" t="s">
        <v>13</v>
      </c>
      <c r="C21" s="37">
        <f>+IF(OR(C11="A4",C11="A5",C11="A6",C11="A7"),DATE(YEAR(C7)+C20,12,31),DATE(YEAR(C7)+C20,12,31))</f>
        <v>56979</v>
      </c>
      <c r="E21" s="39" t="s">
        <v>3</v>
      </c>
      <c r="F21" s="33"/>
      <c r="G21" s="16"/>
    </row>
    <row r="22" spans="1:7" ht="34.35" customHeight="1" thickBot="1" x14ac:dyDescent="0.3">
      <c r="A22" s="20"/>
      <c r="B22" s="32" t="s">
        <v>14</v>
      </c>
      <c r="C22" s="37">
        <f>IF(C21&lt;=C15,"Agent admis à la retraite",IF(C15&lt;=DATE(YEAR(C15),3,31),DATE(YEAR(C15),3,31),IF(C15&lt;=DATE(YEAR(C15),6,30),DATE(YEAR(C15),6,30),IF(C15&lt;=DATE(YEAR(C15),9,30),DATE(YEAR(C15),9,30),IF(C15&lt;=DATE(YEAR(C15),12,31),DATE(YEAR(C15),12,31))))))</f>
        <v>46112</v>
      </c>
      <c r="E22" s="40">
        <f t="array" ref="E22">ROUNDUP(Prime_Trimestrielle_Santé_Retraité(CIMAF,C20,C13,C24),-2)</f>
        <v>45300</v>
      </c>
      <c r="F22" s="33"/>
      <c r="G22" s="16"/>
    </row>
    <row r="23" spans="1:7" ht="34.35" customHeight="1" x14ac:dyDescent="0.25">
      <c r="A23" s="20"/>
      <c r="B23" s="32" t="s">
        <v>15</v>
      </c>
      <c r="C23" s="37">
        <f>IF(C21&lt;=C15,"Agent admis à la retraite",IF(C15&lt;=DATE(YEAR(C15),3,31),DATE(YEAR(C15),4,1),IF(C15&lt;=DATE(YEAR(C15),6,30),DATE(YEAR(C15),7,1),IF(C15&lt;=DATE(YEAR(C15),9,30),DATE(YEAR(C15),10,1),IF(C15&lt;=DATE(YEAR(C15),12,31),DATE(YEAR(C15)+1,1,1))))))</f>
        <v>46113</v>
      </c>
      <c r="F23" s="33"/>
      <c r="G23" s="16"/>
    </row>
    <row r="24" spans="1:7" ht="36" customHeight="1" thickBot="1" x14ac:dyDescent="0.3">
      <c r="A24" s="20"/>
      <c r="B24" s="34" t="s">
        <v>16</v>
      </c>
      <c r="C24" s="38">
        <f>+DATEDIF(IF(C15&lt;=DATE(YEAR(C15),3,31),DATE(YEAR(C15),1,1),IF(C15&lt;=DATE(YEAR(C15),6,30),DATE(YEAR(C15),4,1),IF(C15&lt;=DATE(YEAR(C15),9,30),DATE(YEAR(C15),7,1),IF(C15&lt;=DATE(YEAR(C15),12,31),DATE(YEAR(C15),10,1))))),C21+1,"m")/3</f>
        <v>120</v>
      </c>
      <c r="D24" s="35" t="s">
        <v>5</v>
      </c>
      <c r="E24" s="35"/>
      <c r="F24" s="36"/>
      <c r="G24" s="16"/>
    </row>
    <row r="25" spans="1:7" ht="24" customHeight="1" thickBot="1" x14ac:dyDescent="0.3">
      <c r="A25" s="21"/>
      <c r="B25" s="26"/>
      <c r="C25" s="26"/>
      <c r="D25" s="26"/>
      <c r="E25" s="26"/>
      <c r="F25" s="26"/>
      <c r="G25" s="18"/>
    </row>
  </sheetData>
  <mergeCells count="9">
    <mergeCell ref="A18:G18"/>
    <mergeCell ref="C15:F15"/>
    <mergeCell ref="C13:F13"/>
    <mergeCell ref="A1:G1"/>
    <mergeCell ref="C3:F3"/>
    <mergeCell ref="C5:F5"/>
    <mergeCell ref="C7:F7"/>
    <mergeCell ref="C11:F11"/>
    <mergeCell ref="C9:F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7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NTREE NON VALIDE" error="SELECTIONNEZ LE TYPE D'ADHERENT DANS LA LISTE" promptTitle="TYPE" prompt="SELECTIONNEZ LE TYPE D'ADHERENT DANS LA LISTE">
          <x14:formula1>
            <xm:f>Type!$A$1:$A$2</xm:f>
          </x14:formula1>
          <xm:sqref>C9:F9</xm:sqref>
        </x14:dataValidation>
        <x14:dataValidation type="list" showInputMessage="1" showErrorMessage="1" errorTitle="ENTREE NON VALIDE" error="SELECTIONNEZ UN GRADE DANS LA LISTE" promptTitle="GRADE" prompt="SELECTIONNEZ LE GRADE DE L'ADHERENT DANS LA LISTE">
          <x14:formula1>
            <xm:f>Grade!$A$1:$A$12</xm:f>
          </x14:formula1>
          <xm:sqref>C11:F11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>
      <selection activeCell="E16" sqref="E16"/>
    </sheetView>
  </sheetViews>
  <sheetFormatPr baseColWidth="10"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2"/>
  <sheetViews>
    <sheetView workbookViewId="0">
      <selection activeCell="J23" sqref="J23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31</v>
      </c>
    </row>
    <row r="3" spans="1:1" x14ac:dyDescent="0.25">
      <c r="A3" t="s">
        <v>30</v>
      </c>
    </row>
    <row r="4" spans="1:1" x14ac:dyDescent="0.25">
      <c r="A4" t="s">
        <v>29</v>
      </c>
    </row>
    <row r="5" spans="1:1" x14ac:dyDescent="0.25">
      <c r="A5" t="s">
        <v>28</v>
      </c>
    </row>
    <row r="6" spans="1:1" x14ac:dyDescent="0.25">
      <c r="A6" t="s">
        <v>27</v>
      </c>
    </row>
    <row r="7" spans="1:1" x14ac:dyDescent="0.25">
      <c r="A7" t="s">
        <v>26</v>
      </c>
    </row>
    <row r="8" spans="1:1" x14ac:dyDescent="0.25">
      <c r="A8" t="s">
        <v>25</v>
      </c>
    </row>
    <row r="9" spans="1:1" x14ac:dyDescent="0.25">
      <c r="A9" t="s">
        <v>24</v>
      </c>
    </row>
    <row r="10" spans="1:1" x14ac:dyDescent="0.25">
      <c r="A10" t="s">
        <v>23</v>
      </c>
    </row>
    <row r="11" spans="1:1" x14ac:dyDescent="0.25">
      <c r="A11" t="s">
        <v>22</v>
      </c>
    </row>
    <row r="12" spans="1:1" x14ac:dyDescent="0.25">
      <c r="A12" t="s">
        <v>20</v>
      </c>
    </row>
  </sheetData>
  <sortState ref="A1:A12">
    <sortCondition descending="1" ref="A1:A12"/>
  </sortState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TABLES MORTALITES</vt:lpstr>
      <vt:lpstr>Calcul cotisation</vt:lpstr>
      <vt:lpstr>Type</vt:lpstr>
      <vt:lpstr>Grade</vt:lpstr>
      <vt:lpstr>CIMAF</vt:lpstr>
      <vt:lpstr>TVCIMA</vt:lpstr>
      <vt:lpstr>'Calcul cotisation'!Zone_d_impression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Konan Eugène KOUADIO</dc:creator>
  <cp:lastModifiedBy>Landry Desire AKO</cp:lastModifiedBy>
  <cp:lastPrinted>2025-02-28T14:51:37Z</cp:lastPrinted>
  <dcterms:created xsi:type="dcterms:W3CDTF">2012-07-25T06:47:53Z</dcterms:created>
  <dcterms:modified xsi:type="dcterms:W3CDTF">2026-07-17T09:57:17Z</dcterms:modified>
</cp:coreProperties>
</file>