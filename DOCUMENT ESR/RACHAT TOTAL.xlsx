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codeName="ThisWorkbook"/>
  <xr:revisionPtr revIDLastSave="0" documentId="13_ncr:1_{EAEC9BA4-258E-4D83-A1EC-5E97A400E47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ICHE DE RACHAT TOTAL" sheetId="5" r:id="rId1"/>
    <sheet name="ETAT DES RACHATS" sheetId="6" r:id="rId2"/>
  </sheets>
  <externalReferences>
    <externalReference r:id="rId3"/>
    <externalReference r:id="rId4"/>
    <externalReference r:id="rId5"/>
    <externalReference r:id="rId6"/>
  </externalReferences>
  <definedNames>
    <definedName name="acqui">'[1]DONNEES TECHNIQUES'!$F$25</definedName>
    <definedName name="age_max">'[2]EVALUATION CAPITAL CONST'!$D$6</definedName>
    <definedName name="Age_prêt">'[1]PRET RBM PER'!$F$14</definedName>
    <definedName name="agemax_ascendant">'[3]DONNEES TECH'!$H$13</definedName>
    <definedName name="agemax_enfant">'[3]DONNEES TECH'!$H$11</definedName>
    <definedName name="agesimulprêt">'[3]SIMULATION COLL EMPRUNT'!$J$10</definedName>
    <definedName name="AGRES" localSheetId="1">#REF!</definedName>
    <definedName name="AGRES">#REF!</definedName>
    <definedName name="base" localSheetId="1">#REF!</definedName>
    <definedName name="base">#REF!</definedName>
    <definedName name="capfad1">[3]FICHETARIFICATION!$I$15</definedName>
    <definedName name="capfad2">[3]FICHETARIFICATION!$I$16</definedName>
    <definedName name="capfad3">[3]FICHETARIFICATION!$I$17</definedName>
    <definedName name="capfco1">[3]FICHETARIFICATION!$J$15</definedName>
    <definedName name="capfco2">[3]FICHETARIFICATION!$J$16</definedName>
    <definedName name="capfco3">[3]FICHETARIFICATION!$J$17</definedName>
    <definedName name="capfen1">[3]FICHETARIFICATION!$K$15</definedName>
    <definedName name="capfen2">[3]FICHETARIFICATION!$K$16</definedName>
    <definedName name="capfen3">[3]FICHETARIFICATION!$K$17</definedName>
    <definedName name="coût_avn" localSheetId="1">'[3]DONNEES TECH'!#REF!</definedName>
    <definedName name="coût_avn">'[3]DONNEES TECH'!#REF!</definedName>
    <definedName name="d" localSheetId="1">#REF!</definedName>
    <definedName name="d">#REF!</definedName>
    <definedName name="d_m" localSheetId="1">#REF!</definedName>
    <definedName name="d_m">#REF!</definedName>
    <definedName name="d_prêt" localSheetId="1">#REF!</definedName>
    <definedName name="d_prêt">#REF!</definedName>
    <definedName name="d_td" localSheetId="1">#REF!</definedName>
    <definedName name="d_td">#REF!</definedName>
    <definedName name="Dat_Eva">'[4]PRECOMPTE REVALORISER'!$D$9</definedName>
    <definedName name="Dat_Eval">'[2]EVALUATION CAPITAL CONST'!$D$9</definedName>
    <definedName name="Dat_modif" localSheetId="1">#REF!</definedName>
    <definedName name="Dat_modif">#REF!</definedName>
    <definedName name="date_premier_paiement" localSheetId="1">'[2]SIMU CAPITAL ACQUIT'!#REF!</definedName>
    <definedName name="date_premier_paiement">'[2]SIMU CAPITAL ACQUIT'!#REF!</definedName>
    <definedName name="dif">'[3]TABLE EVL EMPRUNT'!$L$2</definedName>
    <definedName name="dif_prêt">'[1]PRET RBM PER'!$F$21</definedName>
    <definedName name="difschéma_1">'[3]SIMULATION COLL EMPRUNT'!$D$16</definedName>
    <definedName name="difschéma_10">'[3]SIMULATION COLL EMPRUNT'!$J$20</definedName>
    <definedName name="difschéma_2">'[3]SIMULATION COLL EMPRUNT'!$D$17</definedName>
    <definedName name="difschéma_3">'[3]SIMULATION COLL EMPRUNT'!$D$18</definedName>
    <definedName name="difschéma_4">'[3]SIMULATION COLL EMPRUNT'!$D$19</definedName>
    <definedName name="difschéma_5">'[3]SIMULATION COLL EMPRUNT'!$D$20</definedName>
    <definedName name="difschéma_6">'[3]SIMULATION COLL EMPRUNT'!$J$16</definedName>
    <definedName name="difschéma_7">'[3]SIMULATION COLL EMPRUNT'!$J$17</definedName>
    <definedName name="difschéma_8">'[3]SIMULATION COLL EMPRUNT'!$J$18</definedName>
    <definedName name="difschéma_9">'[3]SIMULATION COLL EMPRUNT'!$J$19</definedName>
    <definedName name="durrembschéma_1">'[3]SIMULATION COLL EMPRUNT'!$E$16</definedName>
    <definedName name="durrembschéma_10">'[3]SIMULATION COLL EMPRUNT'!$K$20</definedName>
    <definedName name="durrembschéma_2">'[3]SIMULATION COLL EMPRUNT'!$E$17</definedName>
    <definedName name="durrembschéma_3">'[3]SIMULATION COLL EMPRUNT'!$E$18</definedName>
    <definedName name="durrembschéma_4">'[3]SIMULATION COLL EMPRUNT'!$E$19</definedName>
    <definedName name="durrembschéma_5">'[3]SIMULATION COLL EMPRUNT'!$E$20</definedName>
    <definedName name="durrembschéma_6">'[3]SIMULATION COLL EMPRUNT'!$K$16</definedName>
    <definedName name="durrembschéma_7">'[3]SIMULATION COLL EMPRUNT'!$K$17</definedName>
    <definedName name="durrembschéma_8">'[3]SIMULATION COLL EMPRUNT'!$K$18</definedName>
    <definedName name="durrembschéma_9">'[3]SIMULATION COLL EMPRUNT'!$K$19</definedName>
    <definedName name="ecart_ascendant">'[3]DONNEES TECH'!$H$12</definedName>
    <definedName name="ecart_conjoint">'[3]DONNEES TECH'!$H$9</definedName>
    <definedName name="Ecart_enfant">'[3]DONNEES TECH'!$H$10</definedName>
    <definedName name="effet" localSheetId="1">'[2]SIMU CAPITAL ACQUIT'!#REF!</definedName>
    <definedName name="effet">'[2]SIMU CAPITAL ACQUIT'!#REF!</definedName>
    <definedName name="enc">'[1]DONNEES TECHNIQUES'!$F$27</definedName>
    <definedName name="g">#REF!</definedName>
    <definedName name="gest">'[3]DONNEES TECH'!$E$17</definedName>
    <definedName name="i">#REF!</definedName>
    <definedName name="i_m" localSheetId="1">#REF!</definedName>
    <definedName name="i_m">#REF!</definedName>
    <definedName name="initial">'[3]TABLE EVL EMPRUNT'!$A$2</definedName>
    <definedName name="int">'[3]TABLE EVL EMPRUNT'!$K$2</definedName>
    <definedName name="int_equi">'[3]TABLE EVL EMPRUNT'!$C$2</definedName>
    <definedName name="intrembschéma_1">'[3]SIMULATION COLL EMPRUNT'!$C$16</definedName>
    <definedName name="intrembschéma_10">'[3]SIMULATION COLL EMPRUNT'!$I$20</definedName>
    <definedName name="intrembschéma_2">'[3]SIMULATION COLL EMPRUNT'!$C$17</definedName>
    <definedName name="intrembschéma_3">'[3]SIMULATION COLL EMPRUNT'!$C$18</definedName>
    <definedName name="intrembschéma_4">'[3]SIMULATION COLL EMPRUNT'!$C$19</definedName>
    <definedName name="intrembschéma_5">'[3]SIMULATION COLL EMPRUNT'!$C$20</definedName>
    <definedName name="intrembschéma_6">'[3]SIMULATION COLL EMPRUNT'!$I$16</definedName>
    <definedName name="intrembschéma_7">'[3]SIMULATION COLL EMPRUNT'!$I$17</definedName>
    <definedName name="intrembschéma_8">'[3]SIMULATION COLL EMPRUNT'!$I$18</definedName>
    <definedName name="intrembschéma_9">'[3]SIMULATION COLL EMPRUNT'!$I$19</definedName>
    <definedName name="invpérsimulprêt_remb">'[3]SIMULATION COLL EMPRUNT'!$A$2</definedName>
    <definedName name="invpérsimulprime_prêt">'[3]SIMULATION COLL EMPRUNT'!$G$2</definedName>
    <definedName name="ip">#REF!</definedName>
    <definedName name="m" localSheetId="1">#REF!</definedName>
    <definedName name="m">#REF!</definedName>
    <definedName name="ok">[2]Feuil2!$D$6</definedName>
    <definedName name="per_prime">'[1]PRET RBM PER'!$F$23</definedName>
    <definedName name="pér_prime">[3]FICHETARIFICATION!$M$10</definedName>
    <definedName name="per_remb">'[3]TABLE EVL EMPRUNT'!$J$2</definedName>
    <definedName name="per_remb_prêt">'[1]PRET RBM PER'!$F$18</definedName>
    <definedName name="pérsimul_prime">'[3]SIMULATION PREVOYCE'!$L$10</definedName>
    <definedName name="pérsimulprêt_remb">'[3]SIMULATION COLL EMPRUNT'!$J$11</definedName>
    <definedName name="pérsimulprime_prêt">'[3]SIMULATION COLL EMPRUNT'!$J$12</definedName>
    <definedName name="pr">#REF!</definedName>
    <definedName name="primffcadr">[3]FICHETARIFICATION!$I$24</definedName>
    <definedName name="rho" localSheetId="1">#REF!</definedName>
    <definedName name="rho">#REF!</definedName>
    <definedName name="table" localSheetId="1">#REF!</definedName>
    <definedName name="table">#REF!</definedName>
    <definedName name="table_garantie">[3]FICHETARIFICATION!$B$15:$O$18</definedName>
    <definedName name="tableprime_fun">'[3]TABLE EVAL BORD'!$I$30:$P$33</definedName>
    <definedName name="tableprimesimul_fun">'[3]TABLE EVAL SIMUL'!$H$30:$S$33</definedName>
    <definedName name="tablesimul_garantie">'[3]SIMULATION PREVOYCE'!$B$13:$M$18</definedName>
    <definedName name="taux_charg">'[3]DONNEES TECH'!$H$7</definedName>
    <definedName name="taux_interêt">'[2]EVALUATION CAPITAL CONST'!$D$3</definedName>
    <definedName name="taux_tech">'[3]DONNEES TECH'!$D$5</definedName>
    <definedName name="tauxaccident">'[3]DONNEES TECH'!$H$16</definedName>
    <definedName name="tauxacqui_décès">'[3]DONNEES TECH'!$C$18</definedName>
    <definedName name="tauxacqui_fun">'[3]DONNEES TECH'!$C$19</definedName>
    <definedName name="tauxbase_prêt">'[3]TABLE EVL EMPRUNT'!$AP$23</definedName>
    <definedName name="tauxcap_décès">'[3]DONNEES TECH'!$E$18</definedName>
    <definedName name="tauxcap_fun">'[3]DONNEES TECH'!$E$19</definedName>
    <definedName name="tauxgest_décès">'[3]DONNEES TECH'!$D$18</definedName>
    <definedName name="tauxgest_fun">'[3]DONNEES TECH'!$D$19</definedName>
    <definedName name="tauxipt">'[3]DONNEES TECH'!$H$18</definedName>
    <definedName name="tauxpér_prêt">'[3]TABLE EVL EMPRUNT'!$AQ$23</definedName>
    <definedName name="tauxpérsimulprime_prêt">'[3]SIMULATION COLL EMPRUNT'!$I$2</definedName>
    <definedName name="tauxprimepérsal_décès">'[3]TABLE EVAL BORD'!$M$17</definedName>
    <definedName name="tauxsimulpér_décès">'[3]TABLE EVAL SIMUL'!$L$17</definedName>
    <definedName name="tauxsimulpér_prime">'[3]SIMULATION PREVOYCE'!$B$2</definedName>
    <definedName name="tauxtarifpér_prime">[3]FICHETARIFICATION!$B$2</definedName>
    <definedName name="tauxunique_prêt">'[3]TABLE EVL EMPRUNT'!$AR$23</definedName>
    <definedName name="tep" localSheetId="1">#REF!</definedName>
    <definedName name="tep">#REF!</definedName>
    <definedName name="tps" localSheetId="1">#REF!</definedName>
    <definedName name="tps">#REF!</definedName>
    <definedName name="trait_dif" localSheetId="1">#REF!</definedName>
    <definedName name="trait_dif">#REF!</definedName>
    <definedName name="tx_gestion">'[2]EVALUATION CAPITAL CONST'!$D$7</definedName>
    <definedName name="tx_int_périod">'[2]EVALUATION CAPITAL CONST'!$D$4</definedName>
    <definedName name="v">#REF!</definedName>
    <definedName name="viel">'[3]DONNEES TECH'!$H$6</definedName>
    <definedName name="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6" l="1"/>
  <c r="G12" i="6" l="1"/>
  <c r="H12" i="6" l="1"/>
  <c r="I12" i="6"/>
</calcChain>
</file>

<file path=xl/sharedStrings.xml><?xml version="1.0" encoding="utf-8"?>
<sst xmlns="http://schemas.openxmlformats.org/spreadsheetml/2006/main" count="23" uniqueCount="13">
  <si>
    <t>Matricule</t>
  </si>
  <si>
    <t>Date d'adhésion (PRIME 1)</t>
  </si>
  <si>
    <t>Date de la demande de résiliation</t>
  </si>
  <si>
    <t>Durée courue en trimestre</t>
  </si>
  <si>
    <t>Prov Math Commerciale</t>
  </si>
  <si>
    <t>Prov de Charges de gestion</t>
  </si>
  <si>
    <t>Pénalité de résiliation (5%)</t>
  </si>
  <si>
    <t>Montant à reverser a l'adhérent( e )</t>
  </si>
  <si>
    <t xml:space="preserve"> </t>
  </si>
  <si>
    <t>TOTAL</t>
  </si>
  <si>
    <t>Cotisation Trimestrielle</t>
  </si>
  <si>
    <t>FEUILLE DE CALCUL RESILIATION OU RACHAT TOTAL "ESR-MADGI"</t>
  </si>
  <si>
    <t>ETAT PERIODIQUE DE RESILIATION OU RACHAT TOTAL "ESR-MADGI"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</si>
</sst>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(\$#,##0_);\(\$#,##0\)"/>
    <numFmt numFmtId="165" formatCode="#,##0\ \F\C\F\A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2"/>
      <color theme="1"/>
      <name val="Calisto MT"/>
      <family val="1"/>
    </font>
    <font>
      <b/>
      <i/>
      <sz val="12"/>
      <name val="Calisto MT"/>
      <family val="1"/>
    </font>
    <font>
      <b/>
      <sz val="12"/>
      <color theme="1"/>
      <name val="Calisto MT"/>
      <family val="1"/>
    </font>
    <font>
      <sz val="12"/>
      <color theme="1"/>
      <name val="Calisto MT"/>
      <family val="1"/>
    </font>
    <font>
      <sz val="12"/>
      <name val="Calisto MT"/>
      <family val="1"/>
    </font>
    <font>
      <sz val="11"/>
      <color theme="1"/>
      <name val="Calisto MT"/>
      <family val="1"/>
    </font>
    <font>
      <b/>
      <sz val="14"/>
      <color theme="1"/>
      <name val="Calisto MT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164" fontId="2" fillId="0" borderId="0" applyFon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165" fontId="0" fillId="2" borderId="0" xfId="0" applyNumberFormat="1" applyFill="1"/>
    <xf numFmtId="0" fontId="1" fillId="2" borderId="0" xfId="0" applyFont="1" applyFill="1" applyAlignment="1">
      <alignment horizontal="center"/>
    </xf>
    <xf numFmtId="3" fontId="0" fillId="2" borderId="0" xfId="0" applyNumberFormat="1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0" xfId="0" applyFont="1" applyFill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right" vertical="center"/>
    </xf>
    <xf numFmtId="165" fontId="6" fillId="2" borderId="1" xfId="0" applyNumberFormat="1" applyFont="1" applyFill="1" applyBorder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3">
    <cellStyle name="Milliers [0]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Loyale-vie2\adou\SIM_GRPE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AKO%20LANDRY/Desktop/AMAT%20CI/SANTE%20DU%20RETRAITE_AMATCI%201404(TEST).xlsx" TargetMode="External"/><Relationship Id="rId1" Type="http://schemas.openxmlformats.org/officeDocument/2006/relationships/externalLinkPath" Target="/Users/AKO%20LANDRY/Desktop/AMAT%20CI/SANTE%20DU%20RETRAITE_AMATCI%201404(TEST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KOUASSI_F/Documents/PROJETS/TARIFICATION/ASCOMA/Tarification%20ASCOMA%20PREVOYANCE.xls" TargetMode="External"/><Relationship Id="rId1" Type="http://schemas.openxmlformats.org/officeDocument/2006/relationships/externalLinkPath" Target="/Users/KOUASSI_F/Documents/PROJETS/TARIFICATION/ASCOMA/Tarification%20ASCOMA%20PREVOYANCE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0082021/Desktop/SIMMU%20COTISATION/SDR%202021%20NOUVELLE%20PRIME%20X.xlsx" TargetMode="External"/><Relationship Id="rId1" Type="http://schemas.openxmlformats.org/officeDocument/2006/relationships/externalLinkPath" Target="/Users/0082021/Desktop/SIMMU%20COTISATION/SDR%202021%20NOUVELLE%20PRIME%20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EES TECHNIQUES"/>
      <sheetName val="PREVO GRPE"/>
      <sheetName val="PRET RBM PER"/>
      <sheetName val="TABLE DE BASE"/>
      <sheetName val="PRET RBM UNQ"/>
      <sheetName val="CALCULS DE BASE"/>
      <sheetName val="BASE RBM UNQ"/>
    </sheetNames>
    <sheetDataSet>
      <sheetData sheetId="0" refreshError="1">
        <row r="25">
          <cell r="F25">
            <v>0.2</v>
          </cell>
        </row>
        <row r="27">
          <cell r="F27">
            <v>0.03</v>
          </cell>
        </row>
      </sheetData>
      <sheetData sheetId="1"/>
      <sheetData sheetId="2" refreshError="1">
        <row r="14">
          <cell r="F14">
            <v>40</v>
          </cell>
        </row>
        <row r="18">
          <cell r="F18">
            <v>12</v>
          </cell>
        </row>
        <row r="21">
          <cell r="F21">
            <v>0</v>
          </cell>
        </row>
        <row r="23">
          <cell r="F23">
            <v>1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E DE MORTALITE"/>
      <sheetName val="Tarification"/>
      <sheetName val="Calcul Prime"/>
      <sheetName val="EVALUATION CAPITAL CONST"/>
      <sheetName val="dépenses champs"/>
      <sheetName val="AJUSTEMENT DES PRIMES"/>
      <sheetName val="PROVISION MATHEMATIQUE"/>
      <sheetName val="SIMU CAPITAL ACQUIT"/>
      <sheetName val="Feuil1"/>
      <sheetName val="PRECOMPTE DEC MARS JUIN"/>
      <sheetName val="Feuil2"/>
    </sheetNames>
    <sheetDataSet>
      <sheetData sheetId="0" refreshError="1"/>
      <sheetData sheetId="1" refreshError="1"/>
      <sheetData sheetId="2" refreshError="1"/>
      <sheetData sheetId="3" refreshError="1">
        <row r="3">
          <cell r="D3">
            <v>3.5000000000000003E-2</v>
          </cell>
        </row>
        <row r="4">
          <cell r="D4">
            <v>8.6374459977134332E-3</v>
          </cell>
        </row>
        <row r="6">
          <cell r="D6">
            <v>106</v>
          </cell>
        </row>
        <row r="7">
          <cell r="D7">
            <v>0.05</v>
          </cell>
        </row>
        <row r="9">
          <cell r="D9">
            <v>44561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ONNEES TECH"/>
      <sheetName val="Table SALARIE"/>
      <sheetName val="Donnees"/>
      <sheetName val="FICHETARIFICATION"/>
      <sheetName val="BORDEREAU TARIF"/>
      <sheetName val="SIMULATION PREVOYCE"/>
      <sheetName val="SIMULATION COLL EMPRUNT"/>
      <sheetName val="TABLE EVAL BORD"/>
      <sheetName val="Parmètres de tarification"/>
      <sheetName val="TABLE EVAL SIMUL"/>
      <sheetName val="TABLE-BASE"/>
      <sheetName val="TABLE EVL EMPRUNT"/>
      <sheetName val="Feuil3"/>
      <sheetName val="TAR_MULTIPLE"/>
    </sheetNames>
    <sheetDataSet>
      <sheetData sheetId="0">
        <row r="5">
          <cell r="D5">
            <v>3.5000000000000003E-2</v>
          </cell>
        </row>
        <row r="6">
          <cell r="H6">
            <v>0</v>
          </cell>
        </row>
        <row r="7">
          <cell r="H7">
            <v>0</v>
          </cell>
        </row>
        <row r="9">
          <cell r="H9">
            <v>4</v>
          </cell>
        </row>
        <row r="10">
          <cell r="H10">
            <v>35</v>
          </cell>
        </row>
        <row r="11">
          <cell r="H11">
            <v>25</v>
          </cell>
        </row>
        <row r="12">
          <cell r="H12">
            <v>25</v>
          </cell>
        </row>
        <row r="13">
          <cell r="H13">
            <v>70</v>
          </cell>
        </row>
        <row r="16">
          <cell r="H16">
            <v>8.9999999999999998E-4</v>
          </cell>
        </row>
        <row r="17">
          <cell r="E17" t="str">
            <v>%Cap</v>
          </cell>
        </row>
        <row r="18">
          <cell r="C18">
            <v>0.1</v>
          </cell>
          <cell r="D18">
            <v>0.1</v>
          </cell>
          <cell r="E18">
            <v>2.9999999999999997E-4</v>
          </cell>
          <cell r="H18">
            <v>8.9999999999999998E-4</v>
          </cell>
        </row>
        <row r="19">
          <cell r="C19">
            <v>0.25</v>
          </cell>
          <cell r="D19">
            <v>0.1</v>
          </cell>
          <cell r="E19">
            <v>0</v>
          </cell>
        </row>
      </sheetData>
      <sheetData sheetId="1" refreshError="1"/>
      <sheetData sheetId="2" refreshError="1"/>
      <sheetData sheetId="3">
        <row r="2">
          <cell r="B2">
            <v>3.499999999999992E-2</v>
          </cell>
        </row>
        <row r="10">
          <cell r="M10">
            <v>1</v>
          </cell>
        </row>
        <row r="15">
          <cell r="B15">
            <v>1</v>
          </cell>
          <cell r="C15">
            <v>55</v>
          </cell>
          <cell r="E15">
            <v>1000000</v>
          </cell>
          <cell r="F15">
            <v>0</v>
          </cell>
          <cell r="G15">
            <v>0</v>
          </cell>
          <cell r="L15">
            <v>0</v>
          </cell>
          <cell r="M15">
            <v>0.9</v>
          </cell>
          <cell r="N15">
            <v>4</v>
          </cell>
          <cell r="O15">
            <v>0</v>
          </cell>
        </row>
        <row r="16">
          <cell r="B16">
            <v>2</v>
          </cell>
          <cell r="C16">
            <v>55</v>
          </cell>
          <cell r="E16">
            <v>1000000</v>
          </cell>
          <cell r="F16">
            <v>0</v>
          </cell>
          <cell r="G16">
            <v>0</v>
          </cell>
          <cell r="L16">
            <v>0</v>
          </cell>
          <cell r="M16">
            <v>0.9</v>
          </cell>
          <cell r="N16">
            <v>4</v>
          </cell>
          <cell r="O16">
            <v>0</v>
          </cell>
        </row>
        <row r="17">
          <cell r="B17">
            <v>3</v>
          </cell>
          <cell r="C17">
            <v>55</v>
          </cell>
          <cell r="E17">
            <v>1000000</v>
          </cell>
          <cell r="F17">
            <v>0</v>
          </cell>
          <cell r="G17">
            <v>0</v>
          </cell>
          <cell r="L17">
            <v>0</v>
          </cell>
          <cell r="M17">
            <v>0.9</v>
          </cell>
          <cell r="N17">
            <v>4</v>
          </cell>
          <cell r="O17">
            <v>0</v>
          </cell>
        </row>
        <row r="18">
          <cell r="B18">
            <v>4</v>
          </cell>
          <cell r="C18">
            <v>55</v>
          </cell>
          <cell r="E18">
            <v>1000000</v>
          </cell>
          <cell r="F18">
            <v>0</v>
          </cell>
          <cell r="G18">
            <v>0</v>
          </cell>
          <cell r="I18">
            <v>1000000</v>
          </cell>
          <cell r="J18">
            <v>500000</v>
          </cell>
          <cell r="K18">
            <v>250000</v>
          </cell>
          <cell r="L18">
            <v>0</v>
          </cell>
          <cell r="M18">
            <v>0.8</v>
          </cell>
          <cell r="N18">
            <v>4</v>
          </cell>
          <cell r="O18">
            <v>0</v>
          </cell>
        </row>
        <row r="24">
          <cell r="I24">
            <v>0</v>
          </cell>
        </row>
      </sheetData>
      <sheetData sheetId="4" refreshError="1"/>
      <sheetData sheetId="5">
        <row r="2">
          <cell r="B2">
            <v>3.4450784628919706E-2</v>
          </cell>
        </row>
        <row r="10">
          <cell r="L10">
            <v>12</v>
          </cell>
        </row>
        <row r="13">
          <cell r="B13" t="str">
            <v>Code</v>
          </cell>
          <cell r="C13" t="str">
            <v>Age moy.</v>
          </cell>
          <cell r="D13" t="str">
            <v>Age max.</v>
          </cell>
          <cell r="E13" t="str">
            <v>Capital Décès (Mont Forf.)</v>
          </cell>
          <cell r="F13" t="str">
            <v>Acc (xdec)</v>
          </cell>
          <cell r="G13" t="str">
            <v>IPT (xdec)</v>
          </cell>
          <cell r="I13" t="str">
            <v>Frais funéraires</v>
          </cell>
          <cell r="L13" t="str">
            <v>Moy. ConJ</v>
          </cell>
          <cell r="M13" t="str">
            <v>Moy. Enft</v>
          </cell>
        </row>
        <row r="14">
          <cell r="I14" t="str">
            <v>Adhérent</v>
          </cell>
          <cell r="J14" t="str">
            <v>Conjoint</v>
          </cell>
          <cell r="K14" t="str">
            <v>Enfant</v>
          </cell>
        </row>
        <row r="15">
          <cell r="B15">
            <v>1</v>
          </cell>
          <cell r="C15">
            <v>45</v>
          </cell>
          <cell r="D15">
            <v>65</v>
          </cell>
          <cell r="E15">
            <v>20000000</v>
          </cell>
          <cell r="F15">
            <v>1</v>
          </cell>
          <cell r="G15">
            <v>1</v>
          </cell>
          <cell r="I15">
            <v>1000000</v>
          </cell>
          <cell r="J15">
            <v>1000000</v>
          </cell>
          <cell r="K15">
            <v>500000</v>
          </cell>
          <cell r="L15">
            <v>1</v>
          </cell>
          <cell r="M15">
            <v>4</v>
          </cell>
        </row>
        <row r="16">
          <cell r="B16">
            <v>2</v>
          </cell>
          <cell r="C16">
            <v>45</v>
          </cell>
          <cell r="D16">
            <v>65</v>
          </cell>
          <cell r="E16">
            <v>10000000</v>
          </cell>
          <cell r="F16">
            <v>1</v>
          </cell>
          <cell r="G16">
            <v>1</v>
          </cell>
          <cell r="I16">
            <v>750000</v>
          </cell>
          <cell r="J16">
            <v>750000</v>
          </cell>
          <cell r="K16">
            <v>350000</v>
          </cell>
          <cell r="L16">
            <v>1</v>
          </cell>
          <cell r="M16">
            <v>4</v>
          </cell>
        </row>
        <row r="17">
          <cell r="B17">
            <v>3</v>
          </cell>
          <cell r="C17">
            <v>45</v>
          </cell>
          <cell r="D17">
            <v>55</v>
          </cell>
          <cell r="E17">
            <v>5000000</v>
          </cell>
          <cell r="F17">
            <v>1</v>
          </cell>
          <cell r="G17">
            <v>1</v>
          </cell>
          <cell r="I17">
            <v>500000</v>
          </cell>
          <cell r="J17">
            <v>500000</v>
          </cell>
          <cell r="K17">
            <v>250000</v>
          </cell>
          <cell r="L17">
            <v>1</v>
          </cell>
          <cell r="M17">
            <v>4</v>
          </cell>
        </row>
        <row r="18">
          <cell r="B18">
            <v>4</v>
          </cell>
          <cell r="C18">
            <v>45</v>
          </cell>
          <cell r="D18">
            <v>55</v>
          </cell>
          <cell r="E18">
            <v>2500000</v>
          </cell>
          <cell r="F18">
            <v>1</v>
          </cell>
          <cell r="G18">
            <v>1</v>
          </cell>
          <cell r="I18">
            <v>300000</v>
          </cell>
          <cell r="J18">
            <v>300000</v>
          </cell>
          <cell r="K18">
            <v>100000</v>
          </cell>
          <cell r="L18">
            <v>1</v>
          </cell>
          <cell r="M18">
            <v>4</v>
          </cell>
        </row>
      </sheetData>
      <sheetData sheetId="6">
        <row r="2">
          <cell r="A2" t="e">
            <v>#N/A</v>
          </cell>
          <cell r="G2" t="e">
            <v>#N/A</v>
          </cell>
          <cell r="I2">
            <v>3.499999999999992E-2</v>
          </cell>
        </row>
        <row r="10">
          <cell r="J10">
            <v>40</v>
          </cell>
        </row>
        <row r="11">
          <cell r="J11">
            <v>12</v>
          </cell>
        </row>
        <row r="12">
          <cell r="J12">
            <v>1</v>
          </cell>
        </row>
        <row r="16">
          <cell r="C16">
            <v>0.15</v>
          </cell>
          <cell r="D16">
            <v>6</v>
          </cell>
          <cell r="E16">
            <v>12</v>
          </cell>
          <cell r="I16">
            <v>0.15</v>
          </cell>
          <cell r="J16">
            <v>6</v>
          </cell>
          <cell r="K16">
            <v>72</v>
          </cell>
        </row>
        <row r="17">
          <cell r="C17">
            <v>0.15</v>
          </cell>
          <cell r="D17">
            <v>6</v>
          </cell>
          <cell r="E17">
            <v>24</v>
          </cell>
          <cell r="I17">
            <v>0.15</v>
          </cell>
          <cell r="J17">
            <v>6</v>
          </cell>
          <cell r="K17">
            <v>84</v>
          </cell>
        </row>
        <row r="18">
          <cell r="C18">
            <v>0.15</v>
          </cell>
          <cell r="D18">
            <v>6</v>
          </cell>
          <cell r="E18">
            <v>36</v>
          </cell>
          <cell r="I18">
            <v>0.15</v>
          </cell>
          <cell r="J18">
            <v>6</v>
          </cell>
          <cell r="K18">
            <v>96</v>
          </cell>
        </row>
        <row r="19">
          <cell r="C19">
            <v>0.15</v>
          </cell>
          <cell r="D19">
            <v>6</v>
          </cell>
          <cell r="E19">
            <v>48</v>
          </cell>
          <cell r="I19">
            <v>0.15</v>
          </cell>
          <cell r="J19">
            <v>0</v>
          </cell>
          <cell r="K19">
            <v>108</v>
          </cell>
        </row>
        <row r="20">
          <cell r="C20">
            <v>0.15</v>
          </cell>
          <cell r="D20">
            <v>6</v>
          </cell>
          <cell r="E20">
            <v>60</v>
          </cell>
          <cell r="I20">
            <v>0.15</v>
          </cell>
          <cell r="J20">
            <v>0</v>
          </cell>
          <cell r="K20">
            <v>120</v>
          </cell>
        </row>
      </sheetData>
      <sheetData sheetId="7">
        <row r="17">
          <cell r="M17">
            <v>7.2138471527775916E-3</v>
          </cell>
        </row>
        <row r="30">
          <cell r="I30">
            <v>1</v>
          </cell>
          <cell r="L30">
            <v>0</v>
          </cell>
          <cell r="O30">
            <v>0</v>
          </cell>
        </row>
        <row r="31">
          <cell r="I31">
            <v>2</v>
          </cell>
          <cell r="L31">
            <v>0</v>
          </cell>
          <cell r="O31">
            <v>0</v>
          </cell>
        </row>
        <row r="32">
          <cell r="I32">
            <v>3</v>
          </cell>
          <cell r="L32">
            <v>0</v>
          </cell>
          <cell r="O32">
            <v>0</v>
          </cell>
        </row>
        <row r="33">
          <cell r="I33">
            <v>4</v>
          </cell>
          <cell r="L33">
            <v>12636.577050180473</v>
          </cell>
          <cell r="O33">
            <v>12636.577050180502</v>
          </cell>
        </row>
      </sheetData>
      <sheetData sheetId="8" refreshError="1"/>
      <sheetData sheetId="9">
        <row r="17">
          <cell r="L17">
            <v>5.7072534074761676E-4</v>
          </cell>
        </row>
        <row r="30">
          <cell r="H30">
            <v>1</v>
          </cell>
          <cell r="N30">
            <v>42969.194436655453</v>
          </cell>
          <cell r="Q30">
            <v>3637.8508779073254</v>
          </cell>
        </row>
        <row r="31">
          <cell r="H31">
            <v>2</v>
          </cell>
          <cell r="N31">
            <v>30753.842434876562</v>
          </cell>
          <cell r="Q31">
            <v>2603.6767541841627</v>
          </cell>
        </row>
        <row r="32">
          <cell r="H32">
            <v>3</v>
          </cell>
          <cell r="N32">
            <v>21484.597218327726</v>
          </cell>
          <cell r="Q32">
            <v>1818.9254389536627</v>
          </cell>
        </row>
        <row r="33">
          <cell r="H33">
            <v>4</v>
          </cell>
          <cell r="N33">
            <v>9944.6515457665791</v>
          </cell>
          <cell r="Q33">
            <v>841.93245487953527</v>
          </cell>
        </row>
      </sheetData>
      <sheetData sheetId="10"/>
      <sheetData sheetId="11">
        <row r="2">
          <cell r="A2">
            <v>1000000</v>
          </cell>
          <cell r="C2">
            <v>1.2499999999999999E-2</v>
          </cell>
          <cell r="J2">
            <v>12</v>
          </cell>
          <cell r="K2">
            <v>0.15</v>
          </cell>
          <cell r="L2">
            <v>0</v>
          </cell>
        </row>
        <row r="23">
          <cell r="AP23" t="e">
            <v>#N/A</v>
          </cell>
          <cell r="AQ23" t="e">
            <v>#N/A</v>
          </cell>
          <cell r="AR23" t="e">
            <v>#N/A</v>
          </cell>
        </row>
      </sheetData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E DE MORTALITE"/>
      <sheetName val="PRECOMPTE REVALORISER"/>
      <sheetName val="COTISATION SDR"/>
      <sheetName val="PROVISION MATHEMATIQUE"/>
      <sheetName val="PM FIN DEC 2020"/>
      <sheetName val="PM FIN MARS 2021"/>
      <sheetName val="PM FIN JUIN 2021"/>
      <sheetName val="CALCULE RESILIATION"/>
      <sheetName val="ENCAISSEMENT SDR"/>
      <sheetName val="PRECOMPTE FIN JUIN 2021"/>
      <sheetName val="espece JUIN"/>
      <sheetName val="PRECOMPTE FIN SEPTEMBRE 2021"/>
      <sheetName val="PRECPTE EFFECTIF FIN SEPT 2021"/>
    </sheetNames>
    <sheetDataSet>
      <sheetData sheetId="0" refreshError="1"/>
      <sheetData sheetId="1">
        <row r="9">
          <cell r="D9">
            <v>44561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B2:M8"/>
  <sheetViews>
    <sheetView workbookViewId="0">
      <selection activeCell="B14" sqref="B14"/>
    </sheetView>
  </sheetViews>
  <sheetFormatPr baseColWidth="10" defaultColWidth="11.42578125" defaultRowHeight="15" x14ac:dyDescent="0.25"/>
  <cols>
    <col min="1" max="1" width="9.85546875" style="1" customWidth="1"/>
    <col min="2" max="2" width="11.42578125" style="1" customWidth="1"/>
    <col min="3" max="4" width="13.5703125" style="1" bestFit="1" customWidth="1"/>
    <col min="5" max="5" width="16" style="1" bestFit="1" customWidth="1"/>
    <col min="6" max="6" width="10.28515625" style="1" customWidth="1"/>
    <col min="7" max="7" width="17.7109375" style="1" bestFit="1" customWidth="1"/>
    <col min="8" max="9" width="16" style="1" bestFit="1" customWidth="1"/>
    <col min="10" max="10" width="17.85546875" style="1" bestFit="1" customWidth="1"/>
    <col min="11" max="12" width="11.42578125" style="1"/>
    <col min="13" max="13" width="11" style="1" customWidth="1"/>
    <col min="14" max="16384" width="11.42578125" style="1"/>
  </cols>
  <sheetData>
    <row r="2" spans="2:13" ht="15.75" thickBot="1" x14ac:dyDescent="0.3"/>
    <row r="3" spans="2:13" ht="19.5" thickBot="1" x14ac:dyDescent="0.35">
      <c r="C3" s="25" t="s">
        <v>11</v>
      </c>
      <c r="D3" s="26"/>
      <c r="E3" s="26"/>
      <c r="F3" s="26"/>
      <c r="G3" s="26"/>
      <c r="H3" s="26"/>
      <c r="I3" s="26"/>
      <c r="J3" s="27"/>
    </row>
    <row r="4" spans="2:13" ht="18.75" x14ac:dyDescent="0.3">
      <c r="C4" s="3"/>
      <c r="D4" s="3"/>
      <c r="E4" s="3"/>
      <c r="F4" s="3"/>
      <c r="G4" s="3"/>
      <c r="H4" s="3"/>
      <c r="I4" s="3"/>
      <c r="J4" s="3"/>
    </row>
    <row r="7" spans="2:13" ht="60.75" customHeight="1" x14ac:dyDescent="0.25">
      <c r="B7" s="5" t="s">
        <v>0</v>
      </c>
      <c r="C7" s="6" t="s">
        <v>1</v>
      </c>
      <c r="D7" s="6" t="s">
        <v>2</v>
      </c>
      <c r="E7" s="6" t="s">
        <v>10</v>
      </c>
      <c r="F7" s="6" t="s">
        <v>3</v>
      </c>
      <c r="G7" s="6" t="s">
        <v>4</v>
      </c>
      <c r="H7" s="6" t="s">
        <v>5</v>
      </c>
      <c r="I7" s="6" t="s">
        <v>6</v>
      </c>
      <c r="J7" s="6" t="s">
        <v>7</v>
      </c>
      <c r="M7" s="1" t="s">
        <v>8</v>
      </c>
    </row>
    <row r="8" spans="2:13" ht="40.5" customHeight="1" x14ac:dyDescent="0.25">
      <c r="B8" s="7"/>
      <c r="C8" s="8"/>
      <c r="D8" s="8"/>
      <c r="E8" s="9"/>
      <c r="F8" s="10"/>
      <c r="G8" s="9"/>
      <c r="H8" s="9"/>
      <c r="I8" s="9"/>
      <c r="J8" s="9"/>
    </row>
  </sheetData>
  <mergeCells count="1">
    <mergeCell ref="C3:J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B2:M17"/>
  <sheetViews>
    <sheetView tabSelected="1" workbookViewId="0">
      <selection activeCell="F32" sqref="F32"/>
    </sheetView>
  </sheetViews>
  <sheetFormatPr baseColWidth="10" defaultColWidth="11.42578125" defaultRowHeight="15" x14ac:dyDescent="0.25"/>
  <cols>
    <col min="1" max="1" width="9.42578125" style="1" customWidth="1"/>
    <col min="2" max="2" width="13.42578125" style="1" customWidth="1"/>
    <col min="3" max="4" width="13.5703125" style="1" bestFit="1" customWidth="1"/>
    <col min="5" max="5" width="17.5703125" style="1" bestFit="1" customWidth="1"/>
    <col min="6" max="6" width="12.140625" style="1" customWidth="1"/>
    <col min="7" max="7" width="18.28515625" style="1" bestFit="1" customWidth="1"/>
    <col min="8" max="8" width="15.85546875" style="1" bestFit="1" customWidth="1"/>
    <col min="9" max="9" width="16.140625" style="1" bestFit="1" customWidth="1"/>
    <col min="10" max="10" width="17.7109375" style="1" bestFit="1" customWidth="1"/>
    <col min="11" max="11" width="11.42578125" style="1"/>
    <col min="12" max="12" width="13.7109375" style="1" bestFit="1" customWidth="1"/>
    <col min="13" max="13" width="11" style="1" customWidth="1"/>
    <col min="14" max="16384" width="11.42578125" style="1"/>
  </cols>
  <sheetData>
    <row r="2" spans="2:13" ht="15.75" thickBot="1" x14ac:dyDescent="0.3"/>
    <row r="3" spans="2:13" ht="18.75" thickBot="1" x14ac:dyDescent="0.3">
      <c r="B3" s="19"/>
      <c r="C3" s="21" t="s">
        <v>12</v>
      </c>
      <c r="D3" s="22"/>
      <c r="E3" s="22"/>
      <c r="F3" s="22"/>
      <c r="G3" s="22"/>
      <c r="H3" s="22"/>
      <c r="I3" s="22"/>
      <c r="J3" s="23"/>
    </row>
    <row r="4" spans="2:13" ht="18" x14ac:dyDescent="0.25">
      <c r="B4" s="19"/>
      <c r="C4" s="20"/>
      <c r="D4" s="20"/>
      <c r="E4" s="20"/>
      <c r="F4" s="20"/>
      <c r="G4" s="20"/>
      <c r="H4" s="20"/>
      <c r="I4" s="20"/>
      <c r="J4" s="20"/>
    </row>
    <row r="5" spans="2:13" x14ac:dyDescent="0.25">
      <c r="B5" s="19"/>
      <c r="C5" s="19"/>
      <c r="D5" s="19"/>
      <c r="E5" s="19"/>
      <c r="F5" s="19"/>
      <c r="G5" s="19"/>
      <c r="H5" s="19"/>
      <c r="I5" s="19"/>
      <c r="J5" s="19"/>
    </row>
    <row r="7" spans="2:13" ht="68.25" customHeight="1" x14ac:dyDescent="0.25">
      <c r="B7" s="12" t="s">
        <v>0</v>
      </c>
      <c r="C7" s="13" t="s">
        <v>1</v>
      </c>
      <c r="D7" s="13" t="s">
        <v>2</v>
      </c>
      <c r="E7" s="13" t="s">
        <v>10</v>
      </c>
      <c r="F7" s="13" t="s">
        <v>3</v>
      </c>
      <c r="G7" s="13" t="s">
        <v>4</v>
      </c>
      <c r="H7" s="13" t="s">
        <v>5</v>
      </c>
      <c r="I7" s="13" t="s">
        <v>6</v>
      </c>
      <c r="J7" s="13" t="s">
        <v>7</v>
      </c>
      <c r="M7" s="1" t="s">
        <v>8</v>
      </c>
    </row>
    <row r="8" spans="2:13" ht="15.75" x14ac:dyDescent="0.25">
      <c r="B8" s="14"/>
      <c r="C8" s="15"/>
      <c r="D8" s="15"/>
      <c r="E8" s="17"/>
      <c r="F8" s="16"/>
      <c r="G8" s="17"/>
      <c r="H8" s="17"/>
      <c r="I8" s="17"/>
      <c r="J8" s="17"/>
      <c r="L8" s="2"/>
    </row>
    <row r="9" spans="2:13" ht="15.75" x14ac:dyDescent="0.25">
      <c r="B9" s="14"/>
      <c r="C9" s="15"/>
      <c r="D9" s="15"/>
      <c r="E9" s="17"/>
      <c r="F9" s="16"/>
      <c r="G9" s="17"/>
      <c r="H9" s="17"/>
      <c r="I9" s="17"/>
      <c r="J9" s="17"/>
      <c r="L9" s="2"/>
    </row>
    <row r="10" spans="2:13" ht="15.75" x14ac:dyDescent="0.25">
      <c r="B10" s="14"/>
      <c r="C10" s="15"/>
      <c r="D10" s="15"/>
      <c r="E10" s="17"/>
      <c r="F10" s="16"/>
      <c r="G10" s="17"/>
      <c r="H10" s="17"/>
      <c r="I10" s="17"/>
      <c r="J10" s="17"/>
      <c r="L10" s="2"/>
    </row>
    <row r="11" spans="2:13" ht="15.75" x14ac:dyDescent="0.25">
      <c r="B11" s="14"/>
      <c r="C11" s="15"/>
      <c r="D11" s="15"/>
      <c r="E11" s="17"/>
      <c r="F11" s="16"/>
      <c r="G11" s="17"/>
      <c r="H11" s="17"/>
      <c r="I11" s="17"/>
      <c r="J11" s="17"/>
      <c r="L11" s="2"/>
      <c r="M11" s="4"/>
    </row>
    <row r="12" spans="2:13" ht="15.75" x14ac:dyDescent="0.25">
      <c r="B12" s="11"/>
      <c r="C12" s="11"/>
      <c r="D12" s="24" t="s">
        <v>9</v>
      </c>
      <c r="E12" s="24"/>
      <c r="F12" s="24"/>
      <c r="G12" s="18">
        <f>SUM(G8:G11)</f>
        <v>0</v>
      </c>
      <c r="H12" s="18">
        <f>SUM(H8:H11)</f>
        <v>0</v>
      </c>
      <c r="I12" s="18">
        <f>SUM(I8:I11)</f>
        <v>0</v>
      </c>
      <c r="J12" s="18">
        <f>SUM(J8:J11)</f>
        <v>0</v>
      </c>
    </row>
    <row r="14" spans="2:13" x14ac:dyDescent="0.25">
      <c r="J14" s="2"/>
    </row>
    <row r="16" spans="2:13" x14ac:dyDescent="0.25">
      <c r="I16" s="2"/>
    </row>
    <row r="17" spans="9:9" x14ac:dyDescent="0.25">
      <c r="I17" s="2"/>
    </row>
  </sheetData>
  <mergeCells count="2">
    <mergeCell ref="C3:J3"/>
    <mergeCell ref="D12:F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FICHE DE RACHAT TOTAL</vt:lpstr>
      <vt:lpstr>ETAT DES RACHATS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2026-07-23T14:43:23Z</dcterms:modified>
</cp:coreProperties>
</file>